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holanda/Desktop/cockpit-contas/"/>
    </mc:Choice>
  </mc:AlternateContent>
  <xr:revisionPtr revIDLastSave="0" documentId="13_ncr:1_{A3A90CB0-3C14-9547-BDDE-BA3D83777D3E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2025" sheetId="1" r:id="rId1"/>
    <sheet name="Comparativo" sheetId="2" r:id="rId2"/>
    <sheet name="Cartão de Crédito" sheetId="3" r:id="rId3"/>
    <sheet name="Histórico contas" sheetId="4" r:id="rId4"/>
    <sheet name="Gastos Obra 202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gi6ZGy2nl73zG4BXwKGCejNRxxdYPHoXCtnu01JVnb0="/>
    </ext>
  </extLst>
</workbook>
</file>

<file path=xl/calcChain.xml><?xml version="1.0" encoding="utf-8"?>
<calcChain xmlns="http://schemas.openxmlformats.org/spreadsheetml/2006/main">
  <c r="O27" i="3" l="1"/>
  <c r="O8" i="3"/>
  <c r="O17" i="3"/>
  <c r="O13" i="3"/>
  <c r="O19" i="3"/>
  <c r="O18" i="3"/>
  <c r="O14" i="3"/>
  <c r="O24" i="3"/>
  <c r="O23" i="3"/>
  <c r="P24" i="3"/>
  <c r="O11" i="3"/>
  <c r="O26" i="3"/>
  <c r="O21" i="3"/>
  <c r="O16" i="3"/>
  <c r="O22" i="3"/>
  <c r="P22" i="3"/>
  <c r="B9" i="5" l="1"/>
  <c r="B8" i="5"/>
  <c r="B6" i="5"/>
  <c r="B4" i="5"/>
  <c r="G3" i="5" s="1"/>
  <c r="AO34" i="4"/>
  <c r="AN34" i="4"/>
  <c r="AM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AJ33" i="4"/>
  <c r="AQ31" i="4"/>
  <c r="AU30" i="4"/>
  <c r="AO30" i="4"/>
  <c r="AN30" i="4"/>
  <c r="AM30" i="4"/>
  <c r="AL30" i="4"/>
  <c r="AK30" i="4"/>
  <c r="AJ30" i="4"/>
  <c r="AI30" i="4"/>
  <c r="AH30" i="4"/>
  <c r="AG30" i="4"/>
  <c r="AB30" i="4"/>
  <c r="AA30" i="4"/>
  <c r="Y30" i="4"/>
  <c r="X30" i="4"/>
  <c r="X39" i="4" s="1"/>
  <c r="X41" i="4" s="1"/>
  <c r="W30" i="4"/>
  <c r="V30" i="4"/>
  <c r="U30" i="4"/>
  <c r="U39" i="4" s="1"/>
  <c r="U41" i="4" s="1"/>
  <c r="T30" i="4"/>
  <c r="S30" i="4"/>
  <c r="Q30" i="4"/>
  <c r="P30" i="4"/>
  <c r="O30" i="4"/>
  <c r="N30" i="4"/>
  <c r="M30" i="4"/>
  <c r="M39" i="4" s="1"/>
  <c r="M41" i="4" s="1"/>
  <c r="L30" i="4"/>
  <c r="L39" i="4" s="1"/>
  <c r="L41" i="4" s="1"/>
  <c r="K30" i="4"/>
  <c r="J30" i="4"/>
  <c r="I30" i="4"/>
  <c r="H30" i="4"/>
  <c r="G30" i="4"/>
  <c r="F30" i="4"/>
  <c r="E30" i="4"/>
  <c r="E39" i="4" s="1"/>
  <c r="E41" i="4" s="1"/>
  <c r="D30" i="4"/>
  <c r="C30" i="4"/>
  <c r="C39" i="4" s="1"/>
  <c r="C41" i="4" s="1"/>
  <c r="B30" i="4"/>
  <c r="AE29" i="4"/>
  <c r="T29" i="4"/>
  <c r="R29" i="4"/>
  <c r="R30" i="4" s="1"/>
  <c r="AU28" i="4"/>
  <c r="AF28" i="4"/>
  <c r="AF30" i="4" s="1"/>
  <c r="AE28" i="4"/>
  <c r="AE30" i="4" s="1"/>
  <c r="AD28" i="4"/>
  <c r="AC28" i="4"/>
  <c r="AB28" i="4"/>
  <c r="Z28" i="4"/>
  <c r="AE27" i="4"/>
  <c r="AD27" i="4"/>
  <c r="AD30" i="4" s="1"/>
  <c r="AC27" i="4"/>
  <c r="AC30" i="4" s="1"/>
  <c r="AB27" i="4"/>
  <c r="AA27" i="4"/>
  <c r="AQ27" i="4" s="1"/>
  <c r="Z27" i="4"/>
  <c r="Z30" i="4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U25" i="4"/>
  <c r="AL25" i="4"/>
  <c r="AL33" i="4" s="1"/>
  <c r="AL34" i="4" s="1"/>
  <c r="AB25" i="4"/>
  <c r="AQ25" i="4" s="1"/>
  <c r="AQ24" i="4"/>
  <c r="AE24" i="4"/>
  <c r="AD24" i="4"/>
  <c r="AC24" i="4"/>
  <c r="AC26" i="4" s="1"/>
  <c r="AB24" i="4"/>
  <c r="AA24" i="4"/>
  <c r="AA26" i="4" s="1"/>
  <c r="Z24" i="4"/>
  <c r="Y24" i="4"/>
  <c r="Y26" i="4" s="1"/>
  <c r="AQ23" i="4"/>
  <c r="AQ22" i="4"/>
  <c r="Z21" i="4"/>
  <c r="Z26" i="4" s="1"/>
  <c r="AO20" i="4"/>
  <c r="AO35" i="4" s="1"/>
  <c r="AO37" i="4" s="1"/>
  <c r="AN20" i="4"/>
  <c r="AN39" i="4" s="1"/>
  <c r="AN41" i="4" s="1"/>
  <c r="AM20" i="4"/>
  <c r="AM39" i="4" s="1"/>
  <c r="AM41" i="4" s="1"/>
  <c r="AL20" i="4"/>
  <c r="AK20" i="4"/>
  <c r="AK39" i="4" s="1"/>
  <c r="AK41" i="4" s="1"/>
  <c r="AJ20" i="4"/>
  <c r="AI20" i="4"/>
  <c r="AH20" i="4"/>
  <c r="AG20" i="4"/>
  <c r="AF20" i="4"/>
  <c r="AE20" i="4"/>
  <c r="AD20" i="4"/>
  <c r="Z20" i="4"/>
  <c r="Y20" i="4"/>
  <c r="X20" i="4"/>
  <c r="X35" i="4" s="1"/>
  <c r="X37" i="4" s="1"/>
  <c r="W20" i="4"/>
  <c r="V20" i="4"/>
  <c r="T20" i="4"/>
  <c r="T35" i="4" s="1"/>
  <c r="T37" i="4" s="1"/>
  <c r="S20" i="4"/>
  <c r="S35" i="4" s="1"/>
  <c r="S37" i="4" s="1"/>
  <c r="R20" i="4"/>
  <c r="R35" i="4" s="1"/>
  <c r="R37" i="4" s="1"/>
  <c r="Q20" i="4"/>
  <c r="Q35" i="4" s="1"/>
  <c r="Q37" i="4" s="1"/>
  <c r="P20" i="4"/>
  <c r="P35" i="4" s="1"/>
  <c r="P37" i="4" s="1"/>
  <c r="M20" i="4"/>
  <c r="M35" i="4" s="1"/>
  <c r="M37" i="4" s="1"/>
  <c r="J20" i="4"/>
  <c r="I20" i="4"/>
  <c r="I35" i="4" s="1"/>
  <c r="I37" i="4" s="1"/>
  <c r="H20" i="4"/>
  <c r="H35" i="4" s="1"/>
  <c r="H37" i="4" s="1"/>
  <c r="G20" i="4"/>
  <c r="G35" i="4" s="1"/>
  <c r="G37" i="4" s="1"/>
  <c r="F20" i="4"/>
  <c r="F35" i="4" s="1"/>
  <c r="F37" i="4" s="1"/>
  <c r="E20" i="4"/>
  <c r="E35" i="4" s="1"/>
  <c r="E37" i="4" s="1"/>
  <c r="D20" i="4"/>
  <c r="C20" i="4"/>
  <c r="C35" i="4" s="1"/>
  <c r="C37" i="4" s="1"/>
  <c r="B20" i="4"/>
  <c r="V19" i="4"/>
  <c r="U19" i="4"/>
  <c r="U20" i="4" s="1"/>
  <c r="U35" i="4" s="1"/>
  <c r="U37" i="4" s="1"/>
  <c r="O19" i="4"/>
  <c r="O20" i="4" s="1"/>
  <c r="O35" i="4" s="1"/>
  <c r="O37" i="4" s="1"/>
  <c r="N19" i="4"/>
  <c r="N20" i="4" s="1"/>
  <c r="N35" i="4" s="1"/>
  <c r="N37" i="4" s="1"/>
  <c r="K19" i="4"/>
  <c r="K20" i="4" s="1"/>
  <c r="K35" i="4" s="1"/>
  <c r="K37" i="4" s="1"/>
  <c r="H19" i="4"/>
  <c r="F19" i="4"/>
  <c r="D19" i="4"/>
  <c r="S18" i="4"/>
  <c r="AQ17" i="4"/>
  <c r="AQ16" i="4"/>
  <c r="AQ15" i="4"/>
  <c r="W15" i="4"/>
  <c r="L15" i="4"/>
  <c r="L20" i="4" s="1"/>
  <c r="L35" i="4" s="1"/>
  <c r="L37" i="4" s="1"/>
  <c r="AF14" i="4"/>
  <c r="AE14" i="4"/>
  <c r="AD14" i="4"/>
  <c r="AC14" i="4"/>
  <c r="AC20" i="4" s="1"/>
  <c r="AB14" i="4"/>
  <c r="AB20" i="4" s="1"/>
  <c r="AA14" i="4"/>
  <c r="AA20" i="4" s="1"/>
  <c r="AO13" i="4"/>
  <c r="AN13" i="4"/>
  <c r="AM13" i="4"/>
  <c r="AF13" i="4"/>
  <c r="AE13" i="4"/>
  <c r="AD13" i="4"/>
  <c r="AC13" i="4"/>
  <c r="AB13" i="4"/>
  <c r="U13" i="4"/>
  <c r="T13" i="4"/>
  <c r="R13" i="4"/>
  <c r="P13" i="4"/>
  <c r="O13" i="4"/>
  <c r="N13" i="4"/>
  <c r="M13" i="4"/>
  <c r="L13" i="4"/>
  <c r="K13" i="4"/>
  <c r="I13" i="4"/>
  <c r="H13" i="4"/>
  <c r="G13" i="4"/>
  <c r="F13" i="4"/>
  <c r="E13" i="4"/>
  <c r="D13" i="4"/>
  <c r="C13" i="4"/>
  <c r="AQ12" i="4"/>
  <c r="Z12" i="4"/>
  <c r="X12" i="4"/>
  <c r="W12" i="4"/>
  <c r="W13" i="4" s="1"/>
  <c r="V12" i="4"/>
  <c r="V13" i="4" s="1"/>
  <c r="Q12" i="4"/>
  <c r="Q13" i="4" s="1"/>
  <c r="L12" i="4"/>
  <c r="K12" i="4"/>
  <c r="J12" i="4"/>
  <c r="J13" i="4" s="1"/>
  <c r="AQ11" i="4"/>
  <c r="AL10" i="4"/>
  <c r="AL13" i="4" s="1"/>
  <c r="AK10" i="4"/>
  <c r="AK13" i="4" s="1"/>
  <c r="AJ10" i="4"/>
  <c r="AJ13" i="4" s="1"/>
  <c r="AI10" i="4"/>
  <c r="AI13" i="4" s="1"/>
  <c r="AH10" i="4"/>
  <c r="AH13" i="4" s="1"/>
  <c r="AG10" i="4"/>
  <c r="AG13" i="4" s="1"/>
  <c r="AE10" i="4"/>
  <c r="AD10" i="4"/>
  <c r="AC10" i="4"/>
  <c r="AB10" i="4"/>
  <c r="AA10" i="4"/>
  <c r="AA13" i="4" s="1"/>
  <c r="Z10" i="4"/>
  <c r="AQ10" i="4" s="1"/>
  <c r="Y10" i="4"/>
  <c r="X10" i="4"/>
  <c r="X13" i="4" s="1"/>
  <c r="W10" i="4"/>
  <c r="V10" i="4"/>
  <c r="T10" i="4"/>
  <c r="S10" i="4"/>
  <c r="S13" i="4" s="1"/>
  <c r="B10" i="4"/>
  <c r="B13" i="4" s="1"/>
  <c r="AQ9" i="4"/>
  <c r="AQ8" i="4"/>
  <c r="AQ7" i="4"/>
  <c r="AQ6" i="4"/>
  <c r="AQ5" i="4"/>
  <c r="AQ4" i="4"/>
  <c r="Y4" i="4"/>
  <c r="Y13" i="4" s="1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M30" i="3"/>
  <c r="J30" i="3"/>
  <c r="E30" i="3"/>
  <c r="D30" i="3"/>
  <c r="L27" i="3"/>
  <c r="K27" i="3"/>
  <c r="J27" i="3"/>
  <c r="I27" i="3"/>
  <c r="D27" i="3"/>
  <c r="B27" i="3"/>
  <c r="N26" i="3"/>
  <c r="L25" i="3"/>
  <c r="H25" i="3"/>
  <c r="N24" i="3"/>
  <c r="L24" i="3"/>
  <c r="K24" i="3"/>
  <c r="I39" i="1" s="1"/>
  <c r="I10" i="2" s="1"/>
  <c r="H24" i="3"/>
  <c r="G24" i="3"/>
  <c r="C24" i="3"/>
  <c r="N23" i="3"/>
  <c r="L23" i="3"/>
  <c r="K23" i="3"/>
  <c r="J23" i="3"/>
  <c r="I23" i="3"/>
  <c r="H23" i="3"/>
  <c r="G23" i="3"/>
  <c r="E36" i="1" s="1"/>
  <c r="F23" i="3"/>
  <c r="E23" i="3"/>
  <c r="N22" i="3"/>
  <c r="M22" i="3"/>
  <c r="K35" i="1" s="1"/>
  <c r="L22" i="3"/>
  <c r="K22" i="3"/>
  <c r="J22" i="3"/>
  <c r="I22" i="3"/>
  <c r="H22" i="3"/>
  <c r="G22" i="3"/>
  <c r="E22" i="3"/>
  <c r="D22" i="3"/>
  <c r="B35" i="1" s="1"/>
  <c r="C22" i="3"/>
  <c r="B22" i="3"/>
  <c r="N21" i="3"/>
  <c r="M21" i="3"/>
  <c r="K21" i="3"/>
  <c r="J21" i="3"/>
  <c r="G21" i="3"/>
  <c r="F21" i="3"/>
  <c r="D33" i="1" s="1"/>
  <c r="E21" i="3"/>
  <c r="C21" i="3"/>
  <c r="B21" i="3"/>
  <c r="N20" i="3"/>
  <c r="N19" i="3"/>
  <c r="M19" i="3"/>
  <c r="L19" i="3"/>
  <c r="K19" i="3"/>
  <c r="I29" i="1" s="1"/>
  <c r="J19" i="3"/>
  <c r="I19" i="3"/>
  <c r="H19" i="3"/>
  <c r="G19" i="3"/>
  <c r="F19" i="3"/>
  <c r="E19" i="3"/>
  <c r="D19" i="3"/>
  <c r="C19" i="3"/>
  <c r="B19" i="3"/>
  <c r="N18" i="3"/>
  <c r="M18" i="3"/>
  <c r="L18" i="3"/>
  <c r="K18" i="3"/>
  <c r="J18" i="3"/>
  <c r="I18" i="3"/>
  <c r="H18" i="3"/>
  <c r="F28" i="1" s="1"/>
  <c r="G18" i="3"/>
  <c r="F18" i="3"/>
  <c r="E18" i="3"/>
  <c r="D18" i="3"/>
  <c r="C18" i="3"/>
  <c r="B18" i="3"/>
  <c r="N17" i="3"/>
  <c r="M17" i="3"/>
  <c r="K27" i="1" s="1"/>
  <c r="K31" i="1" s="1"/>
  <c r="L17" i="3"/>
  <c r="K17" i="3"/>
  <c r="J17" i="3"/>
  <c r="I17" i="3"/>
  <c r="H17" i="3"/>
  <c r="G17" i="3"/>
  <c r="F17" i="3"/>
  <c r="E17" i="3"/>
  <c r="C27" i="1" s="1"/>
  <c r="D17" i="3"/>
  <c r="C17" i="3"/>
  <c r="B17" i="3"/>
  <c r="N16" i="3"/>
  <c r="M16" i="3"/>
  <c r="K16" i="3"/>
  <c r="I16" i="3"/>
  <c r="H16" i="3"/>
  <c r="F25" i="1" s="1"/>
  <c r="C16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I23" i="1" s="1"/>
  <c r="J14" i="3"/>
  <c r="I14" i="3"/>
  <c r="H14" i="3"/>
  <c r="G14" i="3"/>
  <c r="F14" i="3"/>
  <c r="E14" i="3"/>
  <c r="D14" i="3"/>
  <c r="C14" i="3"/>
  <c r="B14" i="3"/>
  <c r="N13" i="3"/>
  <c r="M13" i="3"/>
  <c r="L13" i="3"/>
  <c r="K13" i="3"/>
  <c r="J13" i="3"/>
  <c r="I13" i="3"/>
  <c r="H13" i="3"/>
  <c r="F22" i="1" s="1"/>
  <c r="G13" i="3"/>
  <c r="E13" i="3"/>
  <c r="D13" i="3"/>
  <c r="L12" i="3"/>
  <c r="G12" i="3"/>
  <c r="N11" i="3"/>
  <c r="N28" i="3" s="1"/>
  <c r="N36" i="3" s="1"/>
  <c r="M11" i="3"/>
  <c r="L11" i="3"/>
  <c r="L28" i="3" s="1"/>
  <c r="L36" i="3" s="1"/>
  <c r="K11" i="3"/>
  <c r="J11" i="3"/>
  <c r="I11" i="3"/>
  <c r="H11" i="3"/>
  <c r="G11" i="3"/>
  <c r="F11" i="3"/>
  <c r="E11" i="3"/>
  <c r="D11" i="3"/>
  <c r="D28" i="3" s="1"/>
  <c r="D36" i="3" s="1"/>
  <c r="C11" i="3"/>
  <c r="B11" i="3"/>
  <c r="N10" i="3"/>
  <c r="L10" i="3"/>
  <c r="G10" i="3"/>
  <c r="F10" i="3"/>
  <c r="K9" i="3"/>
  <c r="R8" i="3"/>
  <c r="R28" i="3" s="1"/>
  <c r="R36" i="3" s="1"/>
  <c r="Q8" i="3"/>
  <c r="Q28" i="3" s="1"/>
  <c r="Q36" i="3" s="1"/>
  <c r="P8" i="3"/>
  <c r="P28" i="3" s="1"/>
  <c r="P36" i="3" s="1"/>
  <c r="O28" i="3"/>
  <c r="O36" i="3" s="1"/>
  <c r="N8" i="3"/>
  <c r="M8" i="3"/>
  <c r="L8" i="3"/>
  <c r="K8" i="3"/>
  <c r="J8" i="3"/>
  <c r="J28" i="3" s="1"/>
  <c r="J36" i="3" s="1"/>
  <c r="I8" i="3"/>
  <c r="I28" i="3" s="1"/>
  <c r="I36" i="3" s="1"/>
  <c r="H8" i="3"/>
  <c r="G8" i="3"/>
  <c r="D8" i="3"/>
  <c r="B8" i="3"/>
  <c r="B28" i="3" s="1"/>
  <c r="F7" i="3"/>
  <c r="M6" i="3"/>
  <c r="K6" i="3"/>
  <c r="F5" i="3"/>
  <c r="I8" i="2"/>
  <c r="K51" i="1"/>
  <c r="K52" i="1" s="1"/>
  <c r="K53" i="1" s="1"/>
  <c r="K54" i="1" s="1"/>
  <c r="J51" i="1"/>
  <c r="J52" i="1" s="1"/>
  <c r="J53" i="1" s="1"/>
  <c r="J54" i="1" s="1"/>
  <c r="O40" i="1"/>
  <c r="M39" i="1"/>
  <c r="L39" i="1"/>
  <c r="K39" i="1"/>
  <c r="J39" i="1"/>
  <c r="H39" i="1"/>
  <c r="G39" i="1"/>
  <c r="F39" i="1"/>
  <c r="E39" i="1"/>
  <c r="D39" i="1"/>
  <c r="C39" i="1"/>
  <c r="B39" i="1"/>
  <c r="M38" i="1"/>
  <c r="L38" i="1"/>
  <c r="K38" i="1"/>
  <c r="J38" i="1"/>
  <c r="I38" i="1"/>
  <c r="H38" i="1"/>
  <c r="G38" i="1"/>
  <c r="F38" i="1"/>
  <c r="E38" i="1"/>
  <c r="D38" i="1"/>
  <c r="C38" i="1"/>
  <c r="B38" i="1"/>
  <c r="J37" i="1"/>
  <c r="F37" i="1"/>
  <c r="B37" i="1"/>
  <c r="M36" i="1"/>
  <c r="L36" i="1"/>
  <c r="K36" i="1"/>
  <c r="K37" i="1" s="1"/>
  <c r="J36" i="1"/>
  <c r="I36" i="1"/>
  <c r="H36" i="1"/>
  <c r="G36" i="1"/>
  <c r="G37" i="1" s="1"/>
  <c r="F36" i="1"/>
  <c r="D36" i="1"/>
  <c r="C36" i="1"/>
  <c r="C37" i="1" s="1"/>
  <c r="B36" i="1"/>
  <c r="O36" i="1" s="1"/>
  <c r="M35" i="1"/>
  <c r="M37" i="1" s="1"/>
  <c r="L35" i="1"/>
  <c r="J35" i="1"/>
  <c r="I35" i="1"/>
  <c r="I37" i="1" s="1"/>
  <c r="H35" i="1"/>
  <c r="H37" i="1" s="1"/>
  <c r="G35" i="1"/>
  <c r="F35" i="1"/>
  <c r="E35" i="1"/>
  <c r="E37" i="1" s="1"/>
  <c r="D35" i="1"/>
  <c r="C35" i="1"/>
  <c r="J34" i="1"/>
  <c r="I34" i="1"/>
  <c r="E34" i="1"/>
  <c r="M33" i="1"/>
  <c r="M34" i="1" s="1"/>
  <c r="L33" i="1"/>
  <c r="K33" i="1"/>
  <c r="J33" i="1"/>
  <c r="I33" i="1"/>
  <c r="H33" i="1"/>
  <c r="G33" i="1"/>
  <c r="F33" i="1"/>
  <c r="E33" i="1"/>
  <c r="C33" i="1"/>
  <c r="B33" i="1"/>
  <c r="O33" i="1" s="1"/>
  <c r="O34" i="1" s="1"/>
  <c r="M32" i="1"/>
  <c r="L32" i="1"/>
  <c r="L34" i="1" s="1"/>
  <c r="K32" i="1"/>
  <c r="K34" i="1" s="1"/>
  <c r="J32" i="1"/>
  <c r="I32" i="1"/>
  <c r="H32" i="1"/>
  <c r="H34" i="1" s="1"/>
  <c r="G32" i="1"/>
  <c r="G34" i="1" s="1"/>
  <c r="F32" i="1"/>
  <c r="F34" i="1" s="1"/>
  <c r="E32" i="1"/>
  <c r="D32" i="1"/>
  <c r="D34" i="1" s="1"/>
  <c r="C32" i="1"/>
  <c r="C34" i="1" s="1"/>
  <c r="B32" i="1"/>
  <c r="B34" i="1" s="1"/>
  <c r="M30" i="1"/>
  <c r="L30" i="1"/>
  <c r="K30" i="1"/>
  <c r="J30" i="1"/>
  <c r="I30" i="1"/>
  <c r="H30" i="1"/>
  <c r="H31" i="1" s="1"/>
  <c r="G30" i="1"/>
  <c r="F30" i="1"/>
  <c r="S29" i="1"/>
  <c r="M29" i="1"/>
  <c r="L29" i="1"/>
  <c r="K29" i="1"/>
  <c r="J29" i="1"/>
  <c r="H29" i="1"/>
  <c r="G29" i="1"/>
  <c r="G31" i="1" s="1"/>
  <c r="F29" i="1"/>
  <c r="E29" i="1"/>
  <c r="D29" i="1"/>
  <c r="C29" i="1"/>
  <c r="C31" i="1" s="1"/>
  <c r="B29" i="1"/>
  <c r="O29" i="1" s="1"/>
  <c r="M28" i="1"/>
  <c r="L28" i="1"/>
  <c r="L31" i="1" s="1"/>
  <c r="K28" i="1"/>
  <c r="J28" i="1"/>
  <c r="I28" i="1"/>
  <c r="H28" i="1"/>
  <c r="G28" i="1"/>
  <c r="E28" i="1"/>
  <c r="D28" i="1"/>
  <c r="D31" i="1" s="1"/>
  <c r="C28" i="1"/>
  <c r="B28" i="1"/>
  <c r="S27" i="1"/>
  <c r="M27" i="1"/>
  <c r="L27" i="1"/>
  <c r="J27" i="1"/>
  <c r="I27" i="1"/>
  <c r="I31" i="1" s="1"/>
  <c r="H27" i="1"/>
  <c r="G27" i="1"/>
  <c r="F27" i="1"/>
  <c r="F31" i="1" s="1"/>
  <c r="E27" i="1"/>
  <c r="E31" i="1" s="1"/>
  <c r="D27" i="1"/>
  <c r="B27" i="1"/>
  <c r="G26" i="1"/>
  <c r="F26" i="1"/>
  <c r="M25" i="1"/>
  <c r="L25" i="1"/>
  <c r="K25" i="1"/>
  <c r="J25" i="1"/>
  <c r="I25" i="1"/>
  <c r="H25" i="1"/>
  <c r="G25" i="1"/>
  <c r="E25" i="1"/>
  <c r="D25" i="1"/>
  <c r="C25" i="1"/>
  <c r="B25" i="1"/>
  <c r="S24" i="1"/>
  <c r="M24" i="1"/>
  <c r="L24" i="1"/>
  <c r="K24" i="1"/>
  <c r="J24" i="1"/>
  <c r="I24" i="1"/>
  <c r="H24" i="1"/>
  <c r="G24" i="1"/>
  <c r="F24" i="1"/>
  <c r="E24" i="1"/>
  <c r="O24" i="1" s="1"/>
  <c r="D24" i="1"/>
  <c r="C24" i="1"/>
  <c r="B24" i="1"/>
  <c r="M23" i="1"/>
  <c r="L23" i="1"/>
  <c r="K23" i="1"/>
  <c r="K26" i="1" s="1"/>
  <c r="J23" i="1"/>
  <c r="J26" i="1" s="1"/>
  <c r="H23" i="1"/>
  <c r="G23" i="1"/>
  <c r="F23" i="1"/>
  <c r="E23" i="1"/>
  <c r="D23" i="1"/>
  <c r="C23" i="1"/>
  <c r="B23" i="1"/>
  <c r="B26" i="1" s="1"/>
  <c r="M22" i="1"/>
  <c r="L22" i="1"/>
  <c r="K22" i="1"/>
  <c r="J22" i="1"/>
  <c r="I22" i="1"/>
  <c r="H22" i="1"/>
  <c r="G22" i="1"/>
  <c r="E22" i="1"/>
  <c r="D22" i="1"/>
  <c r="D26" i="1" s="1"/>
  <c r="C22" i="1"/>
  <c r="B22" i="1"/>
  <c r="M21" i="1"/>
  <c r="L21" i="1"/>
  <c r="L26" i="1" s="1"/>
  <c r="K21" i="1"/>
  <c r="J21" i="1"/>
  <c r="I21" i="1"/>
  <c r="I26" i="1" s="1"/>
  <c r="I6" i="2" s="1"/>
  <c r="H21" i="1"/>
  <c r="H26" i="1" s="1"/>
  <c r="G21" i="1"/>
  <c r="F21" i="1"/>
  <c r="E21" i="1"/>
  <c r="O20" i="1"/>
  <c r="B20" i="1"/>
  <c r="I19" i="1"/>
  <c r="M18" i="1"/>
  <c r="M19" i="1" s="1"/>
  <c r="L18" i="1"/>
  <c r="K18" i="1"/>
  <c r="J18" i="1"/>
  <c r="I18" i="1"/>
  <c r="H18" i="1"/>
  <c r="G18" i="1"/>
  <c r="F18" i="1"/>
  <c r="E18" i="1"/>
  <c r="E19" i="1" s="1"/>
  <c r="D18" i="1"/>
  <c r="C18" i="1"/>
  <c r="C19" i="1" s="1"/>
  <c r="B18" i="1"/>
  <c r="B19" i="1" s="1"/>
  <c r="M17" i="1"/>
  <c r="L17" i="1"/>
  <c r="K17" i="1"/>
  <c r="J17" i="1"/>
  <c r="I17" i="1"/>
  <c r="H17" i="1"/>
  <c r="G17" i="1"/>
  <c r="F17" i="1"/>
  <c r="E17" i="1"/>
  <c r="D17" i="1"/>
  <c r="H16" i="1"/>
  <c r="D16" i="1"/>
  <c r="D19" i="1" s="1"/>
  <c r="M15" i="1"/>
  <c r="L15" i="1"/>
  <c r="L19" i="1" s="1"/>
  <c r="K15" i="1"/>
  <c r="K19" i="1" s="1"/>
  <c r="J15" i="1"/>
  <c r="I15" i="1"/>
  <c r="H15" i="1"/>
  <c r="H19" i="1" s="1"/>
  <c r="G15" i="1"/>
  <c r="G14" i="1"/>
  <c r="M13" i="1"/>
  <c r="L13" i="1"/>
  <c r="K13" i="1"/>
  <c r="J13" i="1"/>
  <c r="I13" i="1"/>
  <c r="H13" i="1"/>
  <c r="G13" i="1"/>
  <c r="F13" i="1"/>
  <c r="E13" i="1"/>
  <c r="D13" i="1"/>
  <c r="B13" i="1"/>
  <c r="M12" i="1"/>
  <c r="L12" i="1"/>
  <c r="K12" i="1"/>
  <c r="J12" i="1"/>
  <c r="I12" i="1"/>
  <c r="H12" i="1"/>
  <c r="G12" i="1"/>
  <c r="D12" i="1"/>
  <c r="D11" i="1"/>
  <c r="C11" i="1"/>
  <c r="B11" i="1"/>
  <c r="O10" i="1"/>
  <c r="K9" i="1"/>
  <c r="K14" i="1" s="1"/>
  <c r="J9" i="1"/>
  <c r="I9" i="1"/>
  <c r="H9" i="1"/>
  <c r="H14" i="1" s="1"/>
  <c r="G9" i="1"/>
  <c r="F9" i="1"/>
  <c r="E9" i="1"/>
  <c r="D9" i="1"/>
  <c r="C9" i="1"/>
  <c r="C14" i="1" s="1"/>
  <c r="B9" i="1"/>
  <c r="B14" i="1" s="1"/>
  <c r="M8" i="1"/>
  <c r="L8" i="1"/>
  <c r="K8" i="1"/>
  <c r="J8" i="1"/>
  <c r="I8" i="1"/>
  <c r="H8" i="1"/>
  <c r="G8" i="1"/>
  <c r="F8" i="1"/>
  <c r="E8" i="1"/>
  <c r="D8" i="1"/>
  <c r="C8" i="1"/>
  <c r="O7" i="1"/>
  <c r="M6" i="1"/>
  <c r="L6" i="1"/>
  <c r="L14" i="1" s="1"/>
  <c r="K6" i="1"/>
  <c r="J6" i="1"/>
  <c r="J14" i="1" s="1"/>
  <c r="I6" i="1"/>
  <c r="I14" i="1" s="1"/>
  <c r="I42" i="1" s="1"/>
  <c r="H6" i="1"/>
  <c r="G6" i="1"/>
  <c r="F6" i="1"/>
  <c r="E6" i="1"/>
  <c r="D6" i="1"/>
  <c r="D14" i="1" s="1"/>
  <c r="O5" i="1"/>
  <c r="O4" i="1"/>
  <c r="H7" i="2" l="1"/>
  <c r="K6" i="2"/>
  <c r="K9" i="2"/>
  <c r="K42" i="1"/>
  <c r="K4" i="2"/>
  <c r="H4" i="2"/>
  <c r="H42" i="1"/>
  <c r="H5" i="2"/>
  <c r="K7" i="2"/>
  <c r="O35" i="1"/>
  <c r="O37" i="1" s="1"/>
  <c r="D35" i="4"/>
  <c r="D37" i="4" s="1"/>
  <c r="AI39" i="4"/>
  <c r="AI41" i="4" s="1"/>
  <c r="J39" i="4"/>
  <c r="J41" i="4" s="1"/>
  <c r="S39" i="4"/>
  <c r="S41" i="4" s="1"/>
  <c r="K28" i="3"/>
  <c r="K36" i="3" s="1"/>
  <c r="E28" i="3"/>
  <c r="E36" i="3" s="1"/>
  <c r="M28" i="3"/>
  <c r="M36" i="3" s="1"/>
  <c r="Y35" i="4"/>
  <c r="Y37" i="4" s="1"/>
  <c r="AJ39" i="4"/>
  <c r="AJ41" i="4" s="1"/>
  <c r="K39" i="4"/>
  <c r="K41" i="4" s="1"/>
  <c r="T39" i="4"/>
  <c r="T41" i="4" s="1"/>
  <c r="O30" i="1"/>
  <c r="O39" i="1"/>
  <c r="B42" i="1"/>
  <c r="B4" i="2"/>
  <c r="O28" i="1"/>
  <c r="I4" i="2"/>
  <c r="F28" i="3"/>
  <c r="F36" i="3" s="1"/>
  <c r="G7" i="3"/>
  <c r="AA39" i="4"/>
  <c r="AA41" i="4" s="1"/>
  <c r="AA35" i="4"/>
  <c r="AA37" i="4" s="1"/>
  <c r="D39" i="4"/>
  <c r="D41" i="4" s="1"/>
  <c r="AD39" i="4"/>
  <c r="AD41" i="4" s="1"/>
  <c r="AD35" i="4"/>
  <c r="AD37" i="4" s="1"/>
  <c r="AL39" i="4"/>
  <c r="AL41" i="4" s="1"/>
  <c r="AL35" i="4"/>
  <c r="AL37" i="4" s="1"/>
  <c r="H9" i="2"/>
  <c r="AC39" i="4"/>
  <c r="AC41" i="4" s="1"/>
  <c r="AC35" i="4"/>
  <c r="AC37" i="4" s="1"/>
  <c r="AE39" i="4"/>
  <c r="AE41" i="4" s="1"/>
  <c r="F39" i="4"/>
  <c r="F41" i="4" s="1"/>
  <c r="N39" i="4"/>
  <c r="N41" i="4" s="1"/>
  <c r="I11" i="2"/>
  <c r="I46" i="1"/>
  <c r="I48" i="1" s="1"/>
  <c r="I44" i="1"/>
  <c r="K5" i="2"/>
  <c r="J19" i="1"/>
  <c r="G39" i="4"/>
  <c r="G41" i="4" s="1"/>
  <c r="I5" i="2"/>
  <c r="K8" i="2"/>
  <c r="H10" i="2"/>
  <c r="H8" i="2"/>
  <c r="AF39" i="4"/>
  <c r="AF41" i="4" s="1"/>
  <c r="R39" i="4"/>
  <c r="R41" i="4" s="1"/>
  <c r="O39" i="4"/>
  <c r="O41" i="4" s="1"/>
  <c r="AQ13" i="4"/>
  <c r="B35" i="4"/>
  <c r="B37" i="4" s="1"/>
  <c r="V35" i="4"/>
  <c r="V37" i="4" s="1"/>
  <c r="AG35" i="4"/>
  <c r="AG37" i="4" s="1"/>
  <c r="H39" i="4"/>
  <c r="H41" i="4" s="1"/>
  <c r="P39" i="4"/>
  <c r="P41" i="4" s="1"/>
  <c r="H6" i="2"/>
  <c r="I7" i="2"/>
  <c r="B9" i="2"/>
  <c r="M14" i="1"/>
  <c r="O9" i="1"/>
  <c r="O13" i="1"/>
  <c r="G19" i="1"/>
  <c r="O15" i="1"/>
  <c r="O18" i="1"/>
  <c r="O23" i="1"/>
  <c r="O25" i="1"/>
  <c r="J31" i="1"/>
  <c r="I9" i="2"/>
  <c r="O6" i="1"/>
  <c r="E26" i="1"/>
  <c r="O21" i="1"/>
  <c r="M26" i="1"/>
  <c r="B31" i="1"/>
  <c r="O11" i="1"/>
  <c r="M31" i="1"/>
  <c r="L37" i="1"/>
  <c r="L42" i="1" s="1"/>
  <c r="B10" i="2"/>
  <c r="K10" i="2"/>
  <c r="J35" i="4"/>
  <c r="J37" i="4" s="1"/>
  <c r="O8" i="1"/>
  <c r="F19" i="1"/>
  <c r="O17" i="1"/>
  <c r="O22" i="1"/>
  <c r="C26" i="1"/>
  <c r="O27" i="1"/>
  <c r="D37" i="1"/>
  <c r="C28" i="3"/>
  <c r="W35" i="4"/>
  <c r="W37" i="4" s="1"/>
  <c r="AH35" i="4"/>
  <c r="AH37" i="4" s="1"/>
  <c r="I39" i="4"/>
  <c r="I41" i="4" s="1"/>
  <c r="Q39" i="4"/>
  <c r="Q41" i="4" s="1"/>
  <c r="Z13" i="4"/>
  <c r="Z35" i="4" s="1"/>
  <c r="Z37" i="4" s="1"/>
  <c r="AQ21" i="4"/>
  <c r="AQ26" i="4" s="1"/>
  <c r="AI35" i="4"/>
  <c r="AI37" i="4" s="1"/>
  <c r="Y39" i="4"/>
  <c r="Y41" i="4" s="1"/>
  <c r="AG39" i="4"/>
  <c r="AG41" i="4" s="1"/>
  <c r="AO39" i="4"/>
  <c r="AO41" i="4" s="1"/>
  <c r="AB26" i="4"/>
  <c r="AB39" i="4" s="1"/>
  <c r="AB41" i="4" s="1"/>
  <c r="AJ35" i="4"/>
  <c r="AJ37" i="4" s="1"/>
  <c r="Z39" i="4"/>
  <c r="Z41" i="4" s="1"/>
  <c r="AH39" i="4"/>
  <c r="AH41" i="4" s="1"/>
  <c r="AK35" i="4"/>
  <c r="AK37" i="4" s="1"/>
  <c r="AE35" i="4"/>
  <c r="AE37" i="4" s="1"/>
  <c r="AM35" i="4"/>
  <c r="AM37" i="4" s="1"/>
  <c r="AQ28" i="4"/>
  <c r="AQ30" i="4" s="1"/>
  <c r="AF35" i="4"/>
  <c r="AF37" i="4" s="1"/>
  <c r="AN35" i="4"/>
  <c r="AN37" i="4" s="1"/>
  <c r="AQ14" i="4"/>
  <c r="AQ20" i="4" s="1"/>
  <c r="O26" i="1" l="1"/>
  <c r="O31" i="1"/>
  <c r="L44" i="1"/>
  <c r="L11" i="2"/>
  <c r="L50" i="1"/>
  <c r="L51" i="1" s="1"/>
  <c r="L46" i="1"/>
  <c r="L48" i="1" s="1"/>
  <c r="L10" i="2"/>
  <c r="L7" i="2"/>
  <c r="L8" i="2"/>
  <c r="L5" i="2"/>
  <c r="L6" i="2"/>
  <c r="L4" i="2"/>
  <c r="G5" i="2"/>
  <c r="AQ35" i="4"/>
  <c r="AQ37" i="4" s="1"/>
  <c r="M42" i="1"/>
  <c r="M7" i="2" s="1"/>
  <c r="J5" i="2"/>
  <c r="H12" i="2"/>
  <c r="C6" i="2"/>
  <c r="O19" i="1"/>
  <c r="B11" i="2"/>
  <c r="B46" i="1"/>
  <c r="B48" i="1" s="1"/>
  <c r="B44" i="1"/>
  <c r="B8" i="2"/>
  <c r="AB35" i="4"/>
  <c r="AB37" i="4" s="1"/>
  <c r="B5" i="2"/>
  <c r="B12" i="2" s="1"/>
  <c r="K12" i="2"/>
  <c r="G28" i="3"/>
  <c r="G36" i="3" s="1"/>
  <c r="H7" i="3"/>
  <c r="E12" i="1"/>
  <c r="K11" i="2"/>
  <c r="K46" i="1"/>
  <c r="K48" i="1" s="1"/>
  <c r="K44" i="1"/>
  <c r="C42" i="1"/>
  <c r="D42" i="1"/>
  <c r="G42" i="1"/>
  <c r="J42" i="1"/>
  <c r="B39" i="4"/>
  <c r="B41" i="4" s="1"/>
  <c r="L9" i="2"/>
  <c r="V39" i="4"/>
  <c r="V41" i="4" s="1"/>
  <c r="W39" i="4"/>
  <c r="W41" i="4" s="1"/>
  <c r="B6" i="2"/>
  <c r="I12" i="2"/>
  <c r="B7" i="2"/>
  <c r="J7" i="2"/>
  <c r="H11" i="2"/>
  <c r="H46" i="1"/>
  <c r="H48" i="1" s="1"/>
  <c r="H44" i="1"/>
  <c r="M6" i="2" l="1"/>
  <c r="C11" i="2"/>
  <c r="C46" i="1"/>
  <c r="C48" i="1" s="1"/>
  <c r="C44" i="1"/>
  <c r="C10" i="2"/>
  <c r="C7" i="2"/>
  <c r="C9" i="2"/>
  <c r="C4" i="2"/>
  <c r="C8" i="2"/>
  <c r="C5" i="2"/>
  <c r="L12" i="2"/>
  <c r="D44" i="1"/>
  <c r="D11" i="2"/>
  <c r="D46" i="1"/>
  <c r="D48" i="1" s="1"/>
  <c r="D7" i="2"/>
  <c r="D8" i="2"/>
  <c r="D4" i="2"/>
  <c r="D12" i="2" s="1"/>
  <c r="D10" i="2"/>
  <c r="D5" i="2"/>
  <c r="D6" i="2"/>
  <c r="D9" i="2"/>
  <c r="E14" i="1"/>
  <c r="H28" i="3"/>
  <c r="H36" i="3" s="1"/>
  <c r="F12" i="1"/>
  <c r="F14" i="1" s="1"/>
  <c r="J11" i="2"/>
  <c r="J46" i="1"/>
  <c r="J48" i="1" s="1"/>
  <c r="J44" i="1"/>
  <c r="J10" i="2"/>
  <c r="J4" i="2"/>
  <c r="J6" i="2"/>
  <c r="J9" i="2"/>
  <c r="J8" i="2"/>
  <c r="M44" i="1"/>
  <c r="M11" i="2"/>
  <c r="M46" i="1"/>
  <c r="M48" i="1" s="1"/>
  <c r="M9" i="2"/>
  <c r="M5" i="2"/>
  <c r="M8" i="2"/>
  <c r="M10" i="2"/>
  <c r="G44" i="1"/>
  <c r="G11" i="2"/>
  <c r="G46" i="1"/>
  <c r="G48" i="1" s="1"/>
  <c r="G6" i="2"/>
  <c r="G9" i="2"/>
  <c r="G4" i="2"/>
  <c r="G8" i="2"/>
  <c r="G10" i="2"/>
  <c r="G7" i="2"/>
  <c r="M4" i="2"/>
  <c r="AQ39" i="4"/>
  <c r="AQ41" i="4" s="1"/>
  <c r="C12" i="2" l="1"/>
  <c r="G12" i="2"/>
  <c r="E42" i="1"/>
  <c r="F42" i="1"/>
  <c r="O12" i="1"/>
  <c r="O14" i="1" s="1"/>
  <c r="O42" i="1" s="1"/>
  <c r="J12" i="2"/>
  <c r="M12" i="2"/>
  <c r="O44" i="1" l="1"/>
  <c r="O46" i="1"/>
  <c r="O48" i="1" s="1"/>
  <c r="F44" i="1"/>
  <c r="F11" i="2"/>
  <c r="F46" i="1"/>
  <c r="F48" i="1" s="1"/>
  <c r="F7" i="2"/>
  <c r="F10" i="2"/>
  <c r="F9" i="2"/>
  <c r="F8" i="2"/>
  <c r="F6" i="2"/>
  <c r="F5" i="2"/>
  <c r="F4" i="2"/>
  <c r="E44" i="1"/>
  <c r="E7" i="2"/>
  <c r="E11" i="2"/>
  <c r="E46" i="1"/>
  <c r="E48" i="1" s="1"/>
  <c r="E5" i="2"/>
  <c r="E8" i="2"/>
  <c r="E9" i="2"/>
  <c r="E10" i="2"/>
  <c r="E6" i="2"/>
  <c r="E4" i="2"/>
  <c r="E12" i="2" l="1"/>
  <c r="F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ID#AAABpueaJXk
Rios, Bianca (Contractor)    (2025-08-23 02:22:31)
Vando: 2.000</t>
        </r>
      </text>
    </comment>
    <comment ref="G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ID#AAABpueaJXs
Rios, Bianca (Contractor)    (2025-08-23 02:22:31)
280 adicional marmoraria</t>
        </r>
      </text>
    </comment>
    <comment ref="B2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======
ID#AAABfexKNZs
teste    (2025-03-09 15:22:58)
Conserto carro bicos 6.600 - 3x</t>
        </r>
      </text>
    </comment>
    <comment ref="J2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ID#AAABxSeQ1cU
Rios, Bianca    (2025-12-09 23:56:30)
1.000 - Comissão Rabelão</t>
        </r>
      </text>
    </comment>
    <comment ref="B3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======
ID#AAABfexKNZQ
teste    (2025-03-09 15:22:58)
570 - Hotel casamento Jean</t>
        </r>
      </text>
    </comment>
    <comment ref="D35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======
ID#AAABfexKNZA
teste    (2025-03-09 15:22:58)
71,4 - Hotel casamento Najla</t>
        </r>
      </text>
    </comment>
    <comment ref="H3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======
ID#AAABpueaJXY
Rios, Bianca (Contractor)    (2025-08-23 02:22:31)
Festa junina Dani (150)</t>
        </r>
      </text>
    </comment>
    <comment ref="G3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======
ID#AAABpueaJXg
Rios, Bianca (Contractor)    (2025-08-23 02:22:31)
300 Presente Cássio
300 Presente Najla</t>
        </r>
      </text>
    </comment>
    <comment ref="H3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ID#AAABpueaJXo
Rios, Bianca (Contractor)    (2025-08-23 02:22:31)
Presente Papito (458.72)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6g+gfBk1+qJRYEJM6a1BPAeCZ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======
ID#AAABj77xB8M
teste    (2025-05-21 23:27:33)
Materiais obra: iluminação e cimento queimado</t>
        </r>
      </text>
    </comment>
    <comment ref="H8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======
ID#AAABj77xB8k
teste    (2025-05-21 23:27:33)
Materiais obra: iluminação e cimento queimado</t>
        </r>
      </text>
    </comment>
    <comment ref="I8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======
ID#AAABlY8Knq8
teste    (2025-06-09 00:15:18)
Materiais obra: iluminação</t>
        </r>
      </text>
    </comment>
    <comment ref="J8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======
ID#AAABlY2VqLI
teste    (2025-06-09 00:15:18)
Materiais obra: iluminação</t>
        </r>
      </text>
    </comment>
    <comment ref="K8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======
ID#AAABj77xB8Y
teste    (2025-05-21 23:27:33)
Materiais obra: iluminação</t>
        </r>
      </text>
    </comment>
    <comment ref="L8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======
ID#AAABxSeQ1cQ
Rios, Bianca    (2025-12-09 23:56:30)
Materiais obra</t>
        </r>
      </text>
    </comment>
    <comment ref="M8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======
ID#AAABxSeQ1co
Rios, Bianca    (2025-12-09 23:56:30)
961.7 (6x) - Esquadrias + Box</t>
        </r>
      </text>
    </comment>
    <comment ref="N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======
ID#AAABxSeQ1cM
Rios, Bianca    (2025-12-09 23:56:30)
961.7 (6x) - Esquadrias + Box
------
ID#AAABxSeQ1eE
Bruno Cardozo de Holanda    (2025-12-10 00:27:33)
164.95 (2x) - Mercado Livre
1000.00 (5x) - Colchão</t>
        </r>
      </text>
    </comment>
    <comment ref="O8" authorId="0" shapeId="0" xr:uid="{00000000-0006-0000-0200-000012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ID#AAABxSeQ1cI
</t>
        </r>
        <r>
          <rPr>
            <sz val="11"/>
            <color rgb="FF000000"/>
            <rFont val="Calibri"/>
            <family val="2"/>
          </rPr>
          <t xml:space="preserve">Rios, Bianca    (2025-12-09 23:56:30)
</t>
        </r>
        <r>
          <rPr>
            <sz val="11"/>
            <color rgb="FF000000"/>
            <rFont val="Calibri"/>
            <family val="2"/>
          </rPr>
          <t xml:space="preserve">961.7 (6x) - Esquadrias + Box
</t>
        </r>
        <r>
          <rPr>
            <sz val="11"/>
            <color rgb="FF000000"/>
            <rFont val="Calibri"/>
            <family val="2"/>
          </rPr>
          <t xml:space="preserve">------
</t>
        </r>
        <r>
          <rPr>
            <sz val="11"/>
            <color rgb="FF000000"/>
            <rFont val="Calibri"/>
            <family val="2"/>
          </rPr>
          <t xml:space="preserve">ID#AAABxSeQ1eI
</t>
        </r>
        <r>
          <rPr>
            <sz val="11"/>
            <color rgb="FF000000"/>
            <rFont val="Calibri"/>
            <family val="2"/>
          </rPr>
          <t xml:space="preserve">Bruno Cardozo de Holanda    (2025-12-10 00:27:46)
</t>
        </r>
        <r>
          <rPr>
            <sz val="11"/>
            <color rgb="FF000000"/>
            <rFont val="Calibri"/>
            <family val="2"/>
          </rPr>
          <t xml:space="preserve">164.95 (2x) - Mercado Livre
</t>
        </r>
        <r>
          <rPr>
            <sz val="11"/>
            <color rgb="FF000000"/>
            <rFont val="Calibri"/>
            <family val="2"/>
          </rPr>
          <t>1000.00 (5x) - Colchão</t>
        </r>
      </text>
    </comment>
    <comment ref="P8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======
ID#AAABxSeQ1c8
Rios, Bianca    (2025-12-09 23:56:30)
961.7 (6x) - Esquadrias + Box
------
ID#AAABxSeQ1eU
Bruno Cardozo de Holanda    (2025-12-10 00:30:11)
1000.00 (5x) - Colchão</t>
        </r>
      </text>
    </comment>
    <comment ref="Q8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======
ID#AAABxSeQ1cw
Rios, Bianca    (2025-12-09 23:56:30)
961.7 (6x) - Esquadrias + Box
------
ID#AAABxSeQ1eY
Bruno Cardozo de Holanda    (2025-12-10 00:30:14)
1000.00 (5x) - Colchão</t>
        </r>
      </text>
    </comment>
    <comment ref="R8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======
ID#AAABxSeQ1cg
Rios, Bianca    (2025-12-09 23:56:30)
961.7 (6x) - Esquadrias + Box
------
ID#AAABxSeQ1ec
Bruno Cardozo de Holanda    (2025-12-10 00:30:17)
1000.00 (5x) - Colchão</t>
        </r>
      </text>
    </comment>
    <comment ref="B15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======
ID#AAABdYKaIvs
teste    (2025-02-06 02:48:41)
Revisão: 928</t>
        </r>
      </text>
    </comment>
    <comment ref="C15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======
ID#AAABdYKaIvo
teste    (2025-02-06 02:48:41)
Seguro: 2.500
Revisão: 928 (4/4)</t>
        </r>
      </text>
    </comment>
    <comment ref="D15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======
ID#AAABfexKNZw
teste    (2025-03-09 15:22:58)
2338 -&gt; filtros
152,7 -&gt; pneu (1/6)</t>
        </r>
      </text>
    </comment>
    <comment ref="E15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======
ID#AAABfexKNZY
teste    (2025-03-09 15:22:58)
152,7 -&gt; pneu (2/6)</t>
        </r>
      </text>
    </comment>
    <comment ref="F15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======
ID#AAABfexKNZc
teste    (2025-03-09 15:22:58)
152,7 -&gt; pneu (3/6)</t>
        </r>
      </text>
    </comment>
    <comment ref="G15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======
ID#AAABj77xB8s
teste    (2025-05-21 23:27:33)
152,7 -&gt; pneu (4/6)
375 -&gt; protetor de carter (1/4)</t>
        </r>
      </text>
    </comment>
    <comment ref="H15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======
ID#AAABlY8KnrI
teste    (2025-06-09 00:15:18)
152,7 -&gt; pneu (5/6)
375 -&gt; protetor de carter (2/4)
422,25 (4x) -&gt; insulfilm</t>
        </r>
      </text>
    </comment>
    <comment ref="I15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======
ID#AAABlY8KnrM
teste    (2025-06-09 00:15:18)
152,7 -&gt; pneu (6/6)
375 -&gt; protetor de carter (3/4)
422,25 (4x) -&gt; insulfilm</t>
        </r>
      </text>
    </comment>
    <comment ref="J15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======
ID#AAABlY2VqLQ
teste    (2025-06-09 00:15:18)
375 -&gt; protetor de carter (4/4)
422,25 (4x) -&gt; insulfilm</t>
        </r>
      </text>
    </comment>
    <comment ref="K15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======
ID#AAABlY8KnrE
teste    (2025-06-09 00:15:18)
422,25 (4x) -&gt; insulfilm</t>
        </r>
      </text>
    </comment>
    <comment ref="N2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ID#AAABxSeQ1eo
Bruno Cardozo de Holanda    (2025-12-10 00:56:07)
112,40 (2x) - Drogaria SP</t>
        </r>
      </text>
    </comment>
    <comment ref="O21" authorId="0" shapeId="0" xr:uid="{00000000-0006-0000-0200-000001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ID#AAABxSeQ1es
</t>
        </r>
        <r>
          <rPr>
            <sz val="11"/>
            <color rgb="FF000000"/>
            <rFont val="Calibri"/>
            <family val="2"/>
          </rPr>
          <t xml:space="preserve">Bruno Cardozo de Holanda    (2025-12-10 00:56:19)
</t>
        </r>
        <r>
          <rPr>
            <sz val="11"/>
            <color rgb="FF000000"/>
            <rFont val="Calibri"/>
            <family val="2"/>
          </rPr>
          <t>112,40 (2x) - Drogaria SP</t>
        </r>
      </text>
    </comment>
    <comment ref="B22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======
ID#AAABdYKaIvg
teste    (2025-02-06 02:48:41)
Passagem lua de mel: 2.500 (3/3)
Airbnb lua de mel: 305 +1289+1312
Passagem Mendoza: 1128 (1/4)
Passagem lua de mel: 847*2</t>
        </r>
      </text>
    </comment>
    <comment ref="D22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======
ID#AAABdYKaIvw
teste    (2025-02-06 02:48:41)
Casa carnaval: 2.800
Hotel Curitiba: 486
Passagem Mendoza: 1.128</t>
        </r>
      </text>
    </comment>
    <comment ref="E22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======
ID#AAABfexKNY4
teste    (2025-03-09 15:22:58)
Hospedagem Valle do Uco</t>
        </r>
      </text>
    </comment>
    <comment ref="F22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======
ID#AAABj77xB80
teste    (2025-05-21 23:27:33)
496,77 (4x) - Passagem SSA</t>
        </r>
      </text>
    </comment>
    <comment ref="G22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======
ID#AAABlY8KnrA
teste    (2025-06-09 00:15:18)
496,77 (4x) - Passagem SSA
200,98 (5x) - Passagem Floripa
2.914,60 (3x) - Transporte Mendoza</t>
        </r>
      </text>
    </comment>
    <comment ref="H22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======
ID#AAABpueaJXw
    (2025-08-23 02:22:31)
496,77 (4x) - Passagem SSA
200,98 (5x) - Passagem Floripa
2.914,60 (3x) - Transporte Mendoza</t>
        </r>
      </text>
    </comment>
    <comment ref="I22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======
ID#AAABlY2VqLM
teste    (2025-06-09 00:15:18)
496,77 (4x) - Passagem SSA
200,98 (5x) - Passagem Floripa
2.914,60 (3x) - Transporte Mendoza</t>
        </r>
      </text>
    </comment>
    <comment ref="J22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======
ID#AAABpueaJXc
    (2025-08-23 02:22:31)
200,98 (5x) ´- Passagem Floripa
3714.25 - Aibnb Floripa (-1392 Lucas e Bia)
599 - Airbnb Casamento Bigorna (-299,5 Jean e Spider)</t>
        </r>
      </text>
    </comment>
    <comment ref="K22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======
ID#AAABrGD5p-4
    (2025-09-13 14:43:32)
200,98 (5x) - Passagem Floripa
397,76 (4x) - Passagem Natal
538,56 - Hotel SSA
395,55 (4x) - Passagem João Pessoa</t>
        </r>
      </text>
    </comment>
    <comment ref="L2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======
ID#AAABxSeQ1dA
    (2025-12-09 23:56:30)
397,76 (4x) - Passagem Natal
395,55 (4x) - Passagem João Pessoa
1590.15 - Airbnb Santo Antônio do Pinhal</t>
        </r>
      </text>
    </comment>
    <comment ref="M22" authorId="0" shapeId="0" xr:uid="{00000000-0006-0000-0200-00000E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ID#AAABxSeQ1cc
</t>
        </r>
        <r>
          <rPr>
            <sz val="11"/>
            <color rgb="FF000000"/>
            <rFont val="Calibri"/>
            <family val="2"/>
          </rPr>
          <t xml:space="preserve">    (2025-12-09 23:56:30)
</t>
        </r>
        <r>
          <rPr>
            <sz val="11"/>
            <color rgb="FF000000"/>
            <rFont val="Calibri"/>
            <family val="2"/>
          </rPr>
          <t xml:space="preserve">200,98 (5x) - Passagem Floripa
</t>
        </r>
        <r>
          <rPr>
            <sz val="11"/>
            <color rgb="FF000000"/>
            <rFont val="Calibri"/>
            <family val="2"/>
          </rPr>
          <t xml:space="preserve">397,76 (4x) - Passagem Natal
</t>
        </r>
        <r>
          <rPr>
            <sz val="11"/>
            <color rgb="FF000000"/>
            <rFont val="Calibri"/>
            <family val="2"/>
          </rPr>
          <t xml:space="preserve">739.97 (3x) - Hospedagem João Pessoa
</t>
        </r>
        <r>
          <rPr>
            <sz val="11"/>
            <color rgb="FF000000"/>
            <rFont val="Calibri"/>
            <family val="2"/>
          </rPr>
          <t xml:space="preserve">149.9 (2x) - Passagem BH?
</t>
        </r>
        <r>
          <rPr>
            <sz val="11"/>
            <color rgb="FF000000"/>
            <rFont val="Calibri"/>
            <family val="2"/>
          </rPr>
          <t xml:space="preserve">487.46 (2x) - Passagem BH
</t>
        </r>
        <r>
          <rPr>
            <sz val="11"/>
            <color rgb="FF000000"/>
            <rFont val="Calibri"/>
            <family val="2"/>
          </rPr>
          <t xml:space="preserve">427.9 (4x) - Passagem Carnaval
</t>
        </r>
        <r>
          <rPr>
            <sz val="11"/>
            <color rgb="FF000000"/>
            <rFont val="Calibri"/>
            <family val="2"/>
          </rPr>
          <t>737.57 (4x) - Hospedagem Natal</t>
        </r>
      </text>
    </comment>
    <comment ref="N22" authorId="0" shapeId="0" xr:uid="{00000000-0006-0000-0200-000008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ID#AAABxSeQ1c0
</t>
        </r>
        <r>
          <rPr>
            <sz val="11"/>
            <color rgb="FF000000"/>
            <rFont val="Calibri"/>
            <family val="2"/>
          </rPr>
          <t xml:space="preserve">    (2025-12-09 23:56:30)
</t>
        </r>
        <r>
          <rPr>
            <sz val="11"/>
            <color rgb="FF000000"/>
            <rFont val="Calibri"/>
            <family val="2"/>
          </rPr>
          <t xml:space="preserve">200,98 (5x) - Passagem Floripa
</t>
        </r>
        <r>
          <rPr>
            <sz val="11"/>
            <color rgb="FF000000"/>
            <rFont val="Calibri"/>
            <family val="2"/>
          </rPr>
          <t xml:space="preserve">397,76 (4x) - Passagem Natal
</t>
        </r>
        <r>
          <rPr>
            <sz val="11"/>
            <color rgb="FF000000"/>
            <rFont val="Calibri"/>
            <family val="2"/>
          </rPr>
          <t xml:space="preserve">739.97 (3x) - Hospedagem João Pessoa
</t>
        </r>
        <r>
          <rPr>
            <sz val="11"/>
            <color rgb="FF000000"/>
            <rFont val="Calibri"/>
            <family val="2"/>
          </rPr>
          <t xml:space="preserve">149.9 (2x) - Passagem BH?
</t>
        </r>
        <r>
          <rPr>
            <sz val="11"/>
            <color rgb="FF000000"/>
            <rFont val="Calibri"/>
            <family val="2"/>
          </rPr>
          <t xml:space="preserve">487.46 (2x) - Passagem BH
</t>
        </r>
        <r>
          <rPr>
            <sz val="11"/>
            <color rgb="FF000000"/>
            <rFont val="Calibri"/>
            <family val="2"/>
          </rPr>
          <t xml:space="preserve">427.9 (4x) - Passagem Carnaval
</t>
        </r>
        <r>
          <rPr>
            <sz val="11"/>
            <color rgb="FF000000"/>
            <rFont val="Calibri"/>
            <family val="2"/>
          </rPr>
          <t xml:space="preserve">737.57 (4x) - Hospedagem Natal
</t>
        </r>
        <r>
          <rPr>
            <sz val="11"/>
            <color rgb="FF000000"/>
            <rFont val="Calibri"/>
            <family val="2"/>
          </rPr>
          <t xml:space="preserve">------
</t>
        </r>
        <r>
          <rPr>
            <sz val="11"/>
            <color rgb="FF000000"/>
            <rFont val="Calibri"/>
            <family val="2"/>
          </rPr>
          <t xml:space="preserve">ID#AAABxSeQ1eM
</t>
        </r>
        <r>
          <rPr>
            <sz val="11"/>
            <color rgb="FF000000"/>
            <rFont val="Calibri"/>
            <family val="2"/>
          </rPr>
          <t xml:space="preserve">Bruno Cardozo de Holanda    (2025-12-10 00:28:10)
</t>
        </r>
        <r>
          <rPr>
            <sz val="11"/>
            <color rgb="FF000000"/>
            <rFont val="Calibri"/>
            <family val="2"/>
          </rPr>
          <t>467.02 (3x) - Aluguel carro João Pessoa</t>
        </r>
      </text>
    </comment>
    <comment ref="O22" authorId="0" shapeId="0" xr:uid="{00000000-0006-0000-0200-00000F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ID#AAABxSeQ1cY
</t>
        </r>
        <r>
          <rPr>
            <sz val="11"/>
            <color rgb="FF000000"/>
            <rFont val="Calibri"/>
            <family val="2"/>
          </rPr>
          <t xml:space="preserve">Rios, Bianca    (2025-12-09 23:56:30)
</t>
        </r>
        <r>
          <rPr>
            <sz val="11"/>
            <color rgb="FF000000"/>
            <rFont val="Calibri"/>
            <family val="2"/>
          </rPr>
          <t xml:space="preserve">739.97 (3x) - Hospedagem João Pessoa
</t>
        </r>
        <r>
          <rPr>
            <sz val="11"/>
            <color rgb="FF000000"/>
            <rFont val="Calibri"/>
            <family val="2"/>
          </rPr>
          <t xml:space="preserve">427.9 (4x) - Passagem Carnaval
</t>
        </r>
        <r>
          <rPr>
            <sz val="11"/>
            <color rgb="FF000000"/>
            <rFont val="Calibri"/>
            <family val="2"/>
          </rPr>
          <t xml:space="preserve">737.57 (4x) - Hospedagem Natal
</t>
        </r>
        <r>
          <rPr>
            <sz val="11"/>
            <color rgb="FF000000"/>
            <rFont val="Calibri"/>
            <family val="2"/>
          </rPr>
          <t xml:space="preserve">------
</t>
        </r>
        <r>
          <rPr>
            <sz val="11"/>
            <color rgb="FF000000"/>
            <rFont val="Calibri"/>
            <family val="2"/>
          </rPr>
          <t xml:space="preserve">ID#AAABxSeQ1dE
</t>
        </r>
        <r>
          <rPr>
            <sz val="11"/>
            <color rgb="FF000000"/>
            <rFont val="Calibri"/>
            <family val="2"/>
          </rPr>
          <t xml:space="preserve">Bruno Cardozo de Holanda    (2025-12-10 00:17:25)
</t>
        </r>
        <r>
          <rPr>
            <sz val="11"/>
            <color rgb="FF000000"/>
            <rFont val="Calibri"/>
            <family val="2"/>
          </rPr>
          <t>467.02 (3x) - Aluguel carro João Pessoa</t>
        </r>
      </text>
    </comment>
    <comment ref="P22" authorId="0" shapeId="0" xr:uid="{00000000-0006-0000-0200-00000C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ID#AAABxSeQ1ck
</t>
        </r>
        <r>
          <rPr>
            <sz val="11"/>
            <color rgb="FF000000"/>
            <rFont val="Calibri"/>
            <family val="2"/>
          </rPr>
          <t xml:space="preserve">Rios, Bianca    (2025-12-09 23:56:30)
</t>
        </r>
        <r>
          <rPr>
            <sz val="11"/>
            <color rgb="FF000000"/>
            <rFont val="Calibri"/>
            <family val="2"/>
          </rPr>
          <t xml:space="preserve">739.97 (3x) - Hospedagem João Pessoa
</t>
        </r>
        <r>
          <rPr>
            <sz val="11"/>
            <color rgb="FF000000"/>
            <rFont val="Calibri"/>
            <family val="2"/>
          </rPr>
          <t xml:space="preserve">427.9 (4x) - Passagem Carnaval
</t>
        </r>
        <r>
          <rPr>
            <sz val="11"/>
            <color rgb="FF000000"/>
            <rFont val="Calibri"/>
            <family val="2"/>
          </rPr>
          <t xml:space="preserve">737.57 (4x) - Hospedagem Natal
</t>
        </r>
        <r>
          <rPr>
            <sz val="11"/>
            <color rgb="FF000000"/>
            <rFont val="Calibri"/>
            <family val="2"/>
          </rPr>
          <t xml:space="preserve">------
</t>
        </r>
        <r>
          <rPr>
            <sz val="11"/>
            <color rgb="FF000000"/>
            <rFont val="Calibri"/>
            <family val="2"/>
          </rPr>
          <t xml:space="preserve">ID#AAABxSeQ1eQ
</t>
        </r>
        <r>
          <rPr>
            <sz val="11"/>
            <color rgb="FF000000"/>
            <rFont val="Calibri"/>
            <family val="2"/>
          </rPr>
          <t xml:space="preserve">Bruno Cardozo de Holanda    (2025-12-10 00:28:14)
</t>
        </r>
        <r>
          <rPr>
            <sz val="11"/>
            <color rgb="FF000000"/>
            <rFont val="Calibri"/>
            <family val="2"/>
          </rPr>
          <t>467.02 (3x) - Aluguel carro João Pessoa</t>
        </r>
      </text>
    </comment>
    <comment ref="Q2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======
ID#AAABxSeQ1cs
Rios, Bianca    (2025-12-09 23:56:30)
739.97 (3x) - Hospedagem João Pessoa</t>
        </r>
      </text>
    </comment>
    <comment ref="R22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======
ID#AAABxSeQ1cE
Rios, Bianca    (2025-12-09 23:56:30)
739.97 (3x) - Hospedagem João Pessoa</t>
        </r>
      </text>
    </comment>
    <comment ref="E2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======
ID#AAABfexKNY8
teste    (2025-03-09 15:22:58)
324 Ingressos teatro
320 Corrida Live
Gastos Carnaval Socorro</t>
        </r>
      </text>
    </comment>
    <comment ref="F2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======
ID#AAABj77xB8U
teste    (2025-05-21 23:27:33)
82 cinema</t>
        </r>
      </text>
    </comment>
    <comment ref="H23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======
ID#AAABlY8KnrQ
Rios, Bianca (Contractor)    (2025-06-09 00:15:18)
Show Henrique e Juliano</t>
        </r>
      </text>
    </comment>
    <comment ref="J2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======
ID#AAABpueaJXQ
Rios, Bianca (Contractor)    (2025-08-23 02:22:31)
Show Gusttavo Lima: 244 (1/2)</t>
        </r>
      </text>
    </comment>
    <comment ref="K2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======
ID#AAABpueaJXU
Rios, Bianca (Contractor)    (2025-08-23 02:22:31)
Show Gusttavo Lima: 244 (1/2)</t>
        </r>
      </text>
    </comment>
    <comment ref="L2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======
ID#AAABxSeQ1c4
Rios, Bianca    (2025-12-09 23:56:30)
494 - Show Zeca
590 - Vinícola</t>
        </r>
      </text>
    </comment>
    <comment ref="N2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======
ID#AAABxSeQ1eg
Bruno Cardozo de Holanda    (2025-12-10 00:33:25)
157.23 (2x) - Pacco</t>
        </r>
      </text>
    </comment>
    <comment ref="O2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ID#AAABxSeQ1ek
Bruno Cardozo de Holanda    (2025-12-10 00:33:37)
157.23 (2x) - Pacco</t>
        </r>
      </text>
    </comment>
    <comment ref="B2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======
ID#AAABdYKaIv0
teste    (2025-02-06 02:48:41)
Bebida casamento: 4068</t>
        </r>
      </text>
    </comment>
    <comment ref="D2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======
ID#AAABdYKaIv4
teste    (2025-02-06 02:48:41)
Lavanderia (terno)</t>
        </r>
      </text>
    </comment>
    <comment ref="K27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======
ID#AAABrGD5p-0
Rios, Bianca (Contractor)    (2025-09-13 14:43:32)
Aluguel carro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oZwbWNHpNA63xI3Hv8a0Obh4GZ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12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======
ID#AAABfexKNZU
Bianca Rios    (2023-09-15 13:24:45)
891 cortina sala
430 eletricista</t>
        </r>
      </text>
    </comment>
    <comment ref="W12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======
ID#AAABfexKNZM
Bianca Rios    (2023-10-31 01:39:03)
Furto do Paulinho para colocar o azulejo da churrasqueira</t>
        </r>
      </text>
    </comment>
    <comment ref="X12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======
ID#AAABfexKNZE
Bianca Rios    (2023-11-30 01:09:19)
Eletricista (tomada motor cobertura)
Uma reação no total.
Bruno Cardozo de Holanda reagiu com 😁: 2023-12-12 18:25 PM.
------
ID#AAABlY8KnrY
Bruno Cardozo de Holanda    (2023-12-13 02:25:18)
+ ar condicionado</t>
        </r>
      </text>
    </comment>
    <comment ref="Z1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======
ID#AAABRwRB48g
    (2024-07-18 23:57:02)
3497 (bambuzim) + 800 (arzinho)</t>
        </r>
      </text>
    </comment>
    <comment ref="W19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======
ID#AAABfexKNZo
Bruno Cardozo de Holanda    (2023-10-20 14:23:31)
R$ 91 - Remédio</t>
        </r>
      </text>
    </comment>
    <comment ref="AF19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======
ID#AAABRwRB48Y
tc={67CA7A7B-09E6-4F12-A0E9-8BA36A968968}    (2024-07-18 23:57:02)
[Comentário encadeado]
Sua versão do Excel permite que você leia este comentário encadeado, no entanto, as edições serão removidas se o arquivo for aberto em uma versão mais recente do Excel. Saiba mais: https://go.microsoft.com/fwlink/?linkid=870924
Comentário:
    Veterinário</t>
        </r>
      </text>
    </comment>
    <comment ref="Z2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======
ID#AAABRwRB48U
    (2024-07-18 23:57:02)
IPVA - 3080,27
Revisão - 3572,93</t>
        </r>
      </text>
    </comment>
    <comment ref="Y22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======
ID#AAABRwRB48Q
    (2024-07-18 23:57:02)
Seguro</t>
        </r>
      </text>
    </comment>
    <comment ref="Z25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======
ID#AAABRwRB48c
    (2024-07-18 23:57:02)
IPVA - 3080,27
Revisão - 3572,93</t>
        </r>
      </text>
    </comment>
    <comment ref="AC2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ID#AAABRwRB48k
tc={7E339FCF-154B-4FAB-B404-E58CB32F13C8}    (2024-07-18 23:57:02)
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inclui os gastos das férias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pqDTR2TmqQIwXKc09EvMjgrF86Q=="/>
    </ext>
  </extLst>
</comments>
</file>

<file path=xl/sharedStrings.xml><?xml version="1.0" encoding="utf-8"?>
<sst xmlns="http://schemas.openxmlformats.org/spreadsheetml/2006/main" count="155" uniqueCount="93">
  <si>
    <t>Contas dos xuxus</t>
  </si>
  <si>
    <t>*Atualizado até 31/07</t>
  </si>
  <si>
    <t>Conta</t>
  </si>
  <si>
    <t>Média Gastos 2025</t>
  </si>
  <si>
    <t>IPTU</t>
  </si>
  <si>
    <t>Condomínio</t>
  </si>
  <si>
    <t>Água</t>
  </si>
  <si>
    <t>Gás</t>
  </si>
  <si>
    <t>Luz</t>
  </si>
  <si>
    <t>Limpeza</t>
  </si>
  <si>
    <t>Internet</t>
  </si>
  <si>
    <t>Manutenção Elevador</t>
  </si>
  <si>
    <t>Seguro Casa</t>
  </si>
  <si>
    <t>Demais gastos casa</t>
  </si>
  <si>
    <t>Total Casa</t>
  </si>
  <si>
    <t>Day care Farofa</t>
  </si>
  <si>
    <t>Adestramento Farofa</t>
  </si>
  <si>
    <t>Plano de saúde</t>
  </si>
  <si>
    <t>Demais gastos Farofa</t>
  </si>
  <si>
    <t>Total Farofa</t>
  </si>
  <si>
    <t>IPVA + licenciamento</t>
  </si>
  <si>
    <t>Seguro Carro</t>
  </si>
  <si>
    <t>Conectcar</t>
  </si>
  <si>
    <t>Combustível</t>
  </si>
  <si>
    <t>Café da manhã</t>
  </si>
  <si>
    <t>Manutenção Carro</t>
  </si>
  <si>
    <t>Sábados de la do pão</t>
  </si>
  <si>
    <t>Uber</t>
  </si>
  <si>
    <t>+1 mês</t>
  </si>
  <si>
    <t>Total Transporte</t>
  </si>
  <si>
    <t>Almoço</t>
  </si>
  <si>
    <t>Mercado</t>
  </si>
  <si>
    <t>2 por mês</t>
  </si>
  <si>
    <t>Restaurante</t>
  </si>
  <si>
    <t>Jantar</t>
  </si>
  <si>
    <t>Ifood</t>
  </si>
  <si>
    <t>+1,5 por semana</t>
  </si>
  <si>
    <t>Vinho</t>
  </si>
  <si>
    <t>+1 especial/mês</t>
  </si>
  <si>
    <t>Total Alimentação</t>
  </si>
  <si>
    <t>Médicos</t>
  </si>
  <si>
    <t>Farmácia</t>
  </si>
  <si>
    <t>Total Saúde</t>
  </si>
  <si>
    <t xml:space="preserve"> Viagem</t>
  </si>
  <si>
    <t>Lazer</t>
  </si>
  <si>
    <t>Total Lazer</t>
  </si>
  <si>
    <t>Bebê</t>
  </si>
  <si>
    <t>Outras despesas</t>
  </si>
  <si>
    <t>Empréstimo Casa</t>
  </si>
  <si>
    <t>Gastos Totais</t>
  </si>
  <si>
    <t>Total por xuxu (com empréstimo)</t>
  </si>
  <si>
    <t>Total mês (sem empréstimo)</t>
  </si>
  <si>
    <t>Total por xuxu (sem empréstimo)</t>
  </si>
  <si>
    <t>Comparativo 2025</t>
  </si>
  <si>
    <t>TOTAL</t>
  </si>
  <si>
    <t>Gastos cartão de crédito</t>
  </si>
  <si>
    <t>água</t>
  </si>
  <si>
    <t>*Atualizado até 31/10</t>
  </si>
  <si>
    <t>Day Care Farofa</t>
  </si>
  <si>
    <t>Plano de saúde Farofa</t>
  </si>
  <si>
    <t>Viagem</t>
  </si>
  <si>
    <t>Presentes</t>
  </si>
  <si>
    <t>Vinhos</t>
  </si>
  <si>
    <t>Total Cartão</t>
  </si>
  <si>
    <t>Outros (reembolso)</t>
  </si>
  <si>
    <t>Total Visa</t>
  </si>
  <si>
    <t>Total Master</t>
  </si>
  <si>
    <t>Total Cartões</t>
  </si>
  <si>
    <t>Check final</t>
  </si>
  <si>
    <t>Média Gastos 2024</t>
  </si>
  <si>
    <t>Aluguel vaga</t>
  </si>
  <si>
    <t>Ração</t>
  </si>
  <si>
    <t>Banho</t>
  </si>
  <si>
    <t>Antipulga</t>
  </si>
  <si>
    <t>IPVA</t>
  </si>
  <si>
    <t>Seguro</t>
  </si>
  <si>
    <t>Sem Parar</t>
  </si>
  <si>
    <t>Total Carro</t>
  </si>
  <si>
    <t>Alimentação</t>
  </si>
  <si>
    <t>Total alimentação</t>
  </si>
  <si>
    <t>Crédito Master</t>
  </si>
  <si>
    <t>Crédito Visa</t>
  </si>
  <si>
    <t>Total mês (com empréstimo)</t>
  </si>
  <si>
    <t>Gastos obra 2025</t>
  </si>
  <si>
    <t>Saldo casamento</t>
  </si>
  <si>
    <t>Cobertura</t>
  </si>
  <si>
    <t>Bambu</t>
  </si>
  <si>
    <t>Material: iluminação</t>
  </si>
  <si>
    <t>Cartão de crédito</t>
  </si>
  <si>
    <t>Material: cimento queimado</t>
  </si>
  <si>
    <t>Vando (Total 7,8k)</t>
  </si>
  <si>
    <t>Gastos Vando</t>
  </si>
  <si>
    <t>Incluir custos marmoraria e compra adicional massa corrida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</si>
</sst>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5" formatCode="_(* #,##0.00_);_(* \(#,##0.00\);_(* &quot;-&quot;??_);_(@_)"/>
  </numFmts>
  <fonts count="10" x14ac:knownFonts="1">
    <font>
      <sz val="11"/>
      <color theme="1"/>
      <name val="Calibri"/>
      <scheme val="minor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EF2CB"/>
        <bgColor rgb="FFFEF2CB"/>
      </patternFill>
    </fill>
    <fill>
      <patternFill patternType="solid">
        <fgColor rgb="FFDADADA"/>
        <bgColor rgb="FFDADADA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DEEAF6"/>
      </patternFill>
    </fill>
    <fill>
      <patternFill patternType="solid">
        <fgColor theme="5"/>
        <bgColor rgb="FFFEF2C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17" fontId="5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64" fontId="6" fillId="8" borderId="1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9" borderId="2" xfId="0" applyNumberFormat="1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7" fillId="0" borderId="0" xfId="0" applyNumberFormat="1" applyFont="1" applyAlignment="1">
      <alignment horizontal="center"/>
    </xf>
    <xf numFmtId="164" fontId="2" fillId="0" borderId="0" xfId="0" applyNumberFormat="1" applyFont="1"/>
    <xf numFmtId="0" fontId="2" fillId="10" borderId="1" xfId="0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/>
    </xf>
    <xf numFmtId="165" fontId="2" fillId="0" borderId="0" xfId="0" applyNumberFormat="1" applyFont="1"/>
    <xf numFmtId="17" fontId="4" fillId="2" borderId="1" xfId="0" applyNumberFormat="1" applyFont="1" applyFill="1" applyBorder="1" applyAlignment="1">
      <alignment horizontal="center"/>
    </xf>
    <xf numFmtId="164" fontId="2" fillId="12" borderId="1" xfId="0" applyNumberFormat="1" applyFont="1" applyFill="1" applyBorder="1" applyAlignment="1">
      <alignment horizontal="center"/>
    </xf>
    <xf numFmtId="164" fontId="2" fillId="13" borderId="1" xfId="0" applyNumberFormat="1" applyFont="1" applyFill="1" applyBorder="1" applyAlignment="1">
      <alignment horizontal="center"/>
    </xf>
    <xf numFmtId="2" fontId="2" fillId="0" borderId="0" xfId="0" applyNumberFormat="1" applyFont="1"/>
    <xf numFmtId="9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14" borderId="2" xfId="0" applyFont="1" applyFill="1" applyBorder="1"/>
    <xf numFmtId="164" fontId="2" fillId="15" borderId="1" xfId="0" applyNumberFormat="1" applyFont="1" applyFill="1" applyBorder="1" applyAlignment="1">
      <alignment horizontal="center"/>
    </xf>
    <xf numFmtId="164" fontId="2" fillId="16" borderId="1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164" fontId="2" fillId="1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8.546898713568199E-2"/>
          <c:y val="2.328042328042328E-2"/>
          <c:w val="0.78090229074398754"/>
          <c:h val="0.92762271382743822"/>
        </c:manualLayout>
      </c:layout>
      <c:barChart>
        <c:barDir val="col"/>
        <c:grouping val="stacked"/>
        <c:varyColors val="1"/>
        <c:ser>
          <c:idx val="0"/>
          <c:order val="0"/>
          <c:tx>
            <c:v>Total Casa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'2025'!$B$3:$M$3</c:f>
              <c:numCache>
                <c:formatCode>mmm\-yy</c:formatCode>
                <c:ptCount val="12"/>
                <c:pt idx="0">
                  <c:v>45681</c:v>
                </c:pt>
                <c:pt idx="1">
                  <c:v>45712</c:v>
                </c:pt>
                <c:pt idx="2">
                  <c:v>45740</c:v>
                </c:pt>
                <c:pt idx="3">
                  <c:v>45771</c:v>
                </c:pt>
                <c:pt idx="4">
                  <c:v>45801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'2025'!$B$14:$M$14</c:f>
              <c:numCache>
                <c:formatCode>_-"R$"\ * #,##0.00_-;\-"R$"\ * #,##0.00_-;_-"R$"\ * "-"??_-;_-@</c:formatCode>
                <c:ptCount val="12"/>
                <c:pt idx="0">
                  <c:v>1678.15</c:v>
                </c:pt>
                <c:pt idx="1">
                  <c:v>2746.7599999999998</c:v>
                </c:pt>
                <c:pt idx="2">
                  <c:v>3737.0099999999998</c:v>
                </c:pt>
                <c:pt idx="3">
                  <c:v>3735.26</c:v>
                </c:pt>
                <c:pt idx="4">
                  <c:v>6852.7</c:v>
                </c:pt>
                <c:pt idx="5">
                  <c:v>6014.87</c:v>
                </c:pt>
                <c:pt idx="6">
                  <c:v>4460.88</c:v>
                </c:pt>
                <c:pt idx="7">
                  <c:v>3894.8900000000003</c:v>
                </c:pt>
                <c:pt idx="8">
                  <c:v>3302.11</c:v>
                </c:pt>
                <c:pt idx="9">
                  <c:v>3792.44</c:v>
                </c:pt>
                <c:pt idx="10">
                  <c:v>5153.67</c:v>
                </c:pt>
                <c:pt idx="11">
                  <c:v>3725.49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EA-4849-9AF4-61F158E40D9A}"/>
            </c:ext>
          </c:extLst>
        </c:ser>
        <c:ser>
          <c:idx val="1"/>
          <c:order val="1"/>
          <c:tx>
            <c:v>Total Farofa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'2025'!$B$3:$M$3</c:f>
              <c:numCache>
                <c:formatCode>mmm\-yy</c:formatCode>
                <c:ptCount val="12"/>
                <c:pt idx="0">
                  <c:v>45681</c:v>
                </c:pt>
                <c:pt idx="1">
                  <c:v>45712</c:v>
                </c:pt>
                <c:pt idx="2">
                  <c:v>45740</c:v>
                </c:pt>
                <c:pt idx="3">
                  <c:v>45771</c:v>
                </c:pt>
                <c:pt idx="4">
                  <c:v>45801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'2025'!$B$19:$M$19</c:f>
              <c:numCache>
                <c:formatCode>_-"R$"\ * #,##0.00_-;\-"R$"\ * #,##0.00_-;_-"R$"\ * "-"??_-;_-@</c:formatCode>
                <c:ptCount val="12"/>
                <c:pt idx="0">
                  <c:v>393.33</c:v>
                </c:pt>
                <c:pt idx="1">
                  <c:v>980.79</c:v>
                </c:pt>
                <c:pt idx="2">
                  <c:v>2175.7799999999997</c:v>
                </c:pt>
                <c:pt idx="3">
                  <c:v>2196.46</c:v>
                </c:pt>
                <c:pt idx="4">
                  <c:v>1763.33</c:v>
                </c:pt>
                <c:pt idx="5">
                  <c:v>1973.42</c:v>
                </c:pt>
                <c:pt idx="6">
                  <c:v>1800.62</c:v>
                </c:pt>
                <c:pt idx="7">
                  <c:v>3137.6</c:v>
                </c:pt>
                <c:pt idx="8">
                  <c:v>1368.3</c:v>
                </c:pt>
                <c:pt idx="9">
                  <c:v>1841.6399999999999</c:v>
                </c:pt>
                <c:pt idx="10">
                  <c:v>1883.19</c:v>
                </c:pt>
                <c:pt idx="11">
                  <c:v>1671.2600000000002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DEA-4849-9AF4-61F158E40D9A}"/>
            </c:ext>
          </c:extLst>
        </c:ser>
        <c:ser>
          <c:idx val="2"/>
          <c:order val="2"/>
          <c:tx>
            <c:v>Total Transporte</c:v>
          </c:tx>
          <c:spPr>
            <a:solidFill>
              <a:srgbClr val="33CC3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'2025'!$B$3:$M$3</c:f>
              <c:numCache>
                <c:formatCode>mmm\-yy</c:formatCode>
                <c:ptCount val="12"/>
                <c:pt idx="0">
                  <c:v>45681</c:v>
                </c:pt>
                <c:pt idx="1">
                  <c:v>45712</c:v>
                </c:pt>
                <c:pt idx="2">
                  <c:v>45740</c:v>
                </c:pt>
                <c:pt idx="3">
                  <c:v>45771</c:v>
                </c:pt>
                <c:pt idx="4">
                  <c:v>45801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'2025'!$B$26:$M$26</c:f>
              <c:numCache>
                <c:formatCode>_-"R$"\ * #,##0.00_-;\-"R$"\ * #,##0.00_-;_-"R$"\ * "-"??_-;_-@</c:formatCode>
                <c:ptCount val="12"/>
                <c:pt idx="0">
                  <c:v>9527.27</c:v>
                </c:pt>
                <c:pt idx="1">
                  <c:v>3518.7799999999997</c:v>
                </c:pt>
                <c:pt idx="2">
                  <c:v>945.44</c:v>
                </c:pt>
                <c:pt idx="3">
                  <c:v>3960.09</c:v>
                </c:pt>
                <c:pt idx="4">
                  <c:v>2286.5700000000002</c:v>
                </c:pt>
                <c:pt idx="5">
                  <c:v>2405.35</c:v>
                </c:pt>
                <c:pt idx="6">
                  <c:v>1739.27</c:v>
                </c:pt>
                <c:pt idx="7">
                  <c:v>1326.3100000000002</c:v>
                </c:pt>
                <c:pt idx="8">
                  <c:v>5387.86</c:v>
                </c:pt>
                <c:pt idx="9">
                  <c:v>1851.74</c:v>
                </c:pt>
                <c:pt idx="10">
                  <c:v>1579.58</c:v>
                </c:pt>
                <c:pt idx="11">
                  <c:v>2101.2399999999998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DEA-4849-9AF4-61F158E40D9A}"/>
            </c:ext>
          </c:extLst>
        </c:ser>
        <c:ser>
          <c:idx val="3"/>
          <c:order val="3"/>
          <c:tx>
            <c:v>Total Alimentação</c:v>
          </c:tx>
          <c:spPr>
            <a:solidFill>
              <a:srgbClr val="FF33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'2025'!$B$3:$M$3</c:f>
              <c:numCache>
                <c:formatCode>mmm\-yy</c:formatCode>
                <c:ptCount val="12"/>
                <c:pt idx="0">
                  <c:v>45681</c:v>
                </c:pt>
                <c:pt idx="1">
                  <c:v>45712</c:v>
                </c:pt>
                <c:pt idx="2">
                  <c:v>45740</c:v>
                </c:pt>
                <c:pt idx="3">
                  <c:v>45771</c:v>
                </c:pt>
                <c:pt idx="4">
                  <c:v>45801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'2025'!$B$31:$M$31</c:f>
              <c:numCache>
                <c:formatCode>_-"R$"\ * #,##0.00_-;\-"R$"\ * #,##0.00_-;_-"R$"\ * "-"??_-;_-@</c:formatCode>
                <c:ptCount val="12"/>
                <c:pt idx="0">
                  <c:v>3800.2799999999997</c:v>
                </c:pt>
                <c:pt idx="1">
                  <c:v>3239.5</c:v>
                </c:pt>
                <c:pt idx="2">
                  <c:v>3557.0699999999997</c:v>
                </c:pt>
                <c:pt idx="3">
                  <c:v>2619.38</c:v>
                </c:pt>
                <c:pt idx="4">
                  <c:v>6470.119999999999</c:v>
                </c:pt>
                <c:pt idx="5">
                  <c:v>2680.81</c:v>
                </c:pt>
                <c:pt idx="6">
                  <c:v>3574.49</c:v>
                </c:pt>
                <c:pt idx="7">
                  <c:v>3210.1099999999997</c:v>
                </c:pt>
                <c:pt idx="8">
                  <c:v>4846.62</c:v>
                </c:pt>
                <c:pt idx="9">
                  <c:v>2308.6999999999998</c:v>
                </c:pt>
                <c:pt idx="10">
                  <c:v>5096.1500000000005</c:v>
                </c:pt>
                <c:pt idx="11">
                  <c:v>2620.2599999999998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DEA-4849-9AF4-61F158E40D9A}"/>
            </c:ext>
          </c:extLst>
        </c:ser>
        <c:ser>
          <c:idx val="4"/>
          <c:order val="4"/>
          <c:tx>
            <c:v>Total Saúde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'2025'!$B$3:$M$3</c:f>
              <c:numCache>
                <c:formatCode>mmm\-yy</c:formatCode>
                <c:ptCount val="12"/>
                <c:pt idx="0">
                  <c:v>45681</c:v>
                </c:pt>
                <c:pt idx="1">
                  <c:v>45712</c:v>
                </c:pt>
                <c:pt idx="2">
                  <c:v>45740</c:v>
                </c:pt>
                <c:pt idx="3">
                  <c:v>45771</c:v>
                </c:pt>
                <c:pt idx="4">
                  <c:v>45801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'2025'!$B$34:$M$34</c:f>
              <c:numCache>
                <c:formatCode>_-"R$"\ * #,##0.00_-;\-"R$"\ * #,##0.00_-;_-"R$"\ * "-"??_-;_-@</c:formatCode>
                <c:ptCount val="12"/>
                <c:pt idx="0">
                  <c:v>162.57</c:v>
                </c:pt>
                <c:pt idx="1">
                  <c:v>236.04000000000002</c:v>
                </c:pt>
                <c:pt idx="2">
                  <c:v>83.89</c:v>
                </c:pt>
                <c:pt idx="3">
                  <c:v>525.52</c:v>
                </c:pt>
                <c:pt idx="4">
                  <c:v>0</c:v>
                </c:pt>
                <c:pt idx="5">
                  <c:v>0</c:v>
                </c:pt>
                <c:pt idx="6">
                  <c:v>257.74</c:v>
                </c:pt>
                <c:pt idx="7">
                  <c:v>284.58999999999997</c:v>
                </c:pt>
                <c:pt idx="8">
                  <c:v>0</c:v>
                </c:pt>
                <c:pt idx="9">
                  <c:v>804.54</c:v>
                </c:pt>
                <c:pt idx="10">
                  <c:v>1031.03</c:v>
                </c:pt>
                <c:pt idx="11">
                  <c:v>628.4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DEA-4849-9AF4-61F158E40D9A}"/>
            </c:ext>
          </c:extLst>
        </c:ser>
        <c:ser>
          <c:idx val="5"/>
          <c:order val="5"/>
          <c:tx>
            <c:v>Total Lazer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'2025'!$B$3:$M$3</c:f>
              <c:numCache>
                <c:formatCode>mmm\-yy</c:formatCode>
                <c:ptCount val="12"/>
                <c:pt idx="0">
                  <c:v>45681</c:v>
                </c:pt>
                <c:pt idx="1">
                  <c:v>45712</c:v>
                </c:pt>
                <c:pt idx="2">
                  <c:v>45740</c:v>
                </c:pt>
                <c:pt idx="3">
                  <c:v>45771</c:v>
                </c:pt>
                <c:pt idx="4">
                  <c:v>45801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'2025'!$B$37:$M$37</c:f>
              <c:numCache>
                <c:formatCode>_-"R$"\ * #,##0.00_-;\-"R$"\ * #,##0.00_-;_-"R$"\ * "-"??_-;_-@</c:formatCode>
                <c:ptCount val="12"/>
                <c:pt idx="0">
                  <c:v>4601.76</c:v>
                </c:pt>
                <c:pt idx="1">
                  <c:v>3879.5266666666671</c:v>
                </c:pt>
                <c:pt idx="2">
                  <c:v>715.17</c:v>
                </c:pt>
                <c:pt idx="3">
                  <c:v>4049.48</c:v>
                </c:pt>
                <c:pt idx="4">
                  <c:v>8534.16</c:v>
                </c:pt>
                <c:pt idx="5">
                  <c:v>4356.95</c:v>
                </c:pt>
                <c:pt idx="6">
                  <c:v>3215.8900000000003</c:v>
                </c:pt>
                <c:pt idx="7">
                  <c:v>2078.85</c:v>
                </c:pt>
                <c:pt idx="8">
                  <c:v>3467.82</c:v>
                </c:pt>
                <c:pt idx="9">
                  <c:v>3747.7700000000004</c:v>
                </c:pt>
                <c:pt idx="10">
                  <c:v>4341.8</c:v>
                </c:pt>
                <c:pt idx="11">
                  <c:v>4248.04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1DEA-4849-9AF4-61F158E40D9A}"/>
            </c:ext>
          </c:extLst>
        </c:ser>
        <c:ser>
          <c:idx val="6"/>
          <c:order val="6"/>
          <c:tx>
            <c:v>Outras despesas</c:v>
          </c:tx>
          <c:spPr>
            <a:solidFill>
              <a:srgbClr val="99663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'2025'!$B$3:$M$3</c:f>
              <c:numCache>
                <c:formatCode>mmm\-yy</c:formatCode>
                <c:ptCount val="12"/>
                <c:pt idx="0">
                  <c:v>45681</c:v>
                </c:pt>
                <c:pt idx="1">
                  <c:v>45712</c:v>
                </c:pt>
                <c:pt idx="2">
                  <c:v>45740</c:v>
                </c:pt>
                <c:pt idx="3">
                  <c:v>45771</c:v>
                </c:pt>
                <c:pt idx="4">
                  <c:v>45801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'2025'!$B$38:$M$38</c:f>
              <c:numCache>
                <c:formatCode>_-"R$"\ * #,##0.00_-;\-"R$"\ * #,##0.00_-;_-"R$"\ 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369.99</c:v>
                </c:pt>
                <c:pt idx="11">
                  <c:v>958.88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1DEA-4849-9AF4-61F158E40D9A}"/>
            </c:ext>
          </c:extLst>
        </c:ser>
        <c:ser>
          <c:idx val="7"/>
          <c:order val="7"/>
          <c:tx>
            <c:v>Empréstimo Casa</c:v>
          </c:tx>
          <c:spPr>
            <a:solidFill>
              <a:srgbClr val="F9D6BE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'2025'!$B$3:$M$3</c:f>
              <c:numCache>
                <c:formatCode>mmm\-yy</c:formatCode>
                <c:ptCount val="12"/>
                <c:pt idx="0">
                  <c:v>45681</c:v>
                </c:pt>
                <c:pt idx="1">
                  <c:v>45712</c:v>
                </c:pt>
                <c:pt idx="2">
                  <c:v>45740</c:v>
                </c:pt>
                <c:pt idx="3">
                  <c:v>45771</c:v>
                </c:pt>
                <c:pt idx="4">
                  <c:v>45801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'2025'!$B$39:$M$39</c:f>
              <c:numCache>
                <c:formatCode>_-"R$"\ * #,##0.00_-;\-"R$"\ * #,##0.00_-;_-"R$"\ * "-"??_-;_-@</c:formatCode>
                <c:ptCount val="12"/>
                <c:pt idx="0">
                  <c:v>200</c:v>
                </c:pt>
                <c:pt idx="1">
                  <c:v>0</c:v>
                </c:pt>
                <c:pt idx="2">
                  <c:v>0</c:v>
                </c:pt>
                <c:pt idx="3">
                  <c:v>468.52</c:v>
                </c:pt>
                <c:pt idx="4">
                  <c:v>159.28</c:v>
                </c:pt>
                <c:pt idx="5">
                  <c:v>624.12</c:v>
                </c:pt>
                <c:pt idx="6">
                  <c:v>530.57000000000005</c:v>
                </c:pt>
                <c:pt idx="7">
                  <c:v>750.81000000000006</c:v>
                </c:pt>
                <c:pt idx="8">
                  <c:v>295.60000000000002</c:v>
                </c:pt>
                <c:pt idx="9">
                  <c:v>0</c:v>
                </c:pt>
                <c:pt idx="10">
                  <c:v>652.75</c:v>
                </c:pt>
                <c:pt idx="11">
                  <c:v>2433.81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1DEA-4849-9AF4-61F158E40D9A}"/>
            </c:ext>
          </c:extLst>
        </c:ser>
        <c:ser>
          <c:idx val="8"/>
          <c:order val="8"/>
          <c:spPr>
            <a:solidFill>
              <a:srgbClr val="F1F1F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'2025'!$B$3:$M$3</c:f>
              <c:numCache>
                <c:formatCode>mmm\-yy</c:formatCode>
                <c:ptCount val="12"/>
                <c:pt idx="0">
                  <c:v>45681</c:v>
                </c:pt>
                <c:pt idx="1">
                  <c:v>45712</c:v>
                </c:pt>
                <c:pt idx="2">
                  <c:v>45740</c:v>
                </c:pt>
                <c:pt idx="3">
                  <c:v>45771</c:v>
                </c:pt>
                <c:pt idx="4">
                  <c:v>45801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'2025'!$B$40:$M$40</c:f>
              <c:numCache>
                <c:formatCode>_-"R$"\ * #,##0.00_-;\-"R$"\ * #,##0.00_-;_-"R$"\ * "-"??_-;_-@</c:formatCode>
                <c:ptCount val="12"/>
                <c:pt idx="0">
                  <c:v>7916.666666666667</c:v>
                </c:pt>
                <c:pt idx="1">
                  <c:v>7916.666666666667</c:v>
                </c:pt>
                <c:pt idx="2">
                  <c:v>7916.666666666667</c:v>
                </c:pt>
                <c:pt idx="3">
                  <c:v>7916.666666666667</c:v>
                </c:pt>
                <c:pt idx="4">
                  <c:v>7916.666666666667</c:v>
                </c:pt>
                <c:pt idx="5">
                  <c:v>7916.666666666667</c:v>
                </c:pt>
                <c:pt idx="6">
                  <c:v>7916.666666666667</c:v>
                </c:pt>
                <c:pt idx="7">
                  <c:v>7916.666666666667</c:v>
                </c:pt>
                <c:pt idx="8">
                  <c:v>7916.666666666667</c:v>
                </c:pt>
                <c:pt idx="9">
                  <c:v>7916.666666666667</c:v>
                </c:pt>
                <c:pt idx="10">
                  <c:v>7916.666666666667</c:v>
                </c:pt>
                <c:pt idx="11">
                  <c:v>7916.666666666667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1DEA-4849-9AF4-61F158E40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1997332"/>
        <c:axId val="1507204624"/>
      </c:barChart>
      <c:dateAx>
        <c:axId val="1631997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mmm\-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07204624"/>
        <c:crosses val="autoZero"/>
        <c:auto val="1"/>
        <c:lblOffset val="100"/>
        <c:baseTimeUnit val="months"/>
      </c:dateAx>
      <c:valAx>
        <c:axId val="1507204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319973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8.0686435352219574E-2"/>
          <c:y val="0.17171296296296296"/>
          <c:w val="0.90703892245865358"/>
          <c:h val="0.72088764946048411"/>
        </c:manualLayout>
      </c:layout>
      <c:barChart>
        <c:barDir val="col"/>
        <c:grouping val="clustered"/>
        <c:varyColors val="1"/>
        <c:ser>
          <c:idx val="0"/>
          <c:order val="0"/>
          <c:tx>
            <c:v>Total por xuxu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73A-A34A-83DB-5E1753B48B29}"/>
              </c:ext>
            </c:extLst>
          </c:dPt>
          <c:dLbls>
            <c:dLbl>
              <c:idx val="15"/>
              <c:spPr/>
              <c:txPr>
                <a:bodyPr/>
                <a:lstStyle/>
                <a:p>
                  <a:pPr lvl="0">
                    <a:defRPr sz="900" b="0" i="0">
                      <a:latin typeface="+mn-lt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73A-A34A-83DB-5E1753B48B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'Histórico contas'!$B$3:$AK$3</c:f>
              <c:numCache>
                <c:formatCode>mmm\-yy</c:formatCode>
                <c:ptCount val="12"/>
                <c:pt idx="0">
                  <c:v>45292</c:v>
                </c:pt>
                <c:pt idx="1">
                  <c:v>45346</c:v>
                </c:pt>
                <c:pt idx="2">
                  <c:v>45375</c:v>
                </c:pt>
                <c:pt idx="3">
                  <c:v>45406</c:v>
                </c:pt>
                <c:pt idx="4">
                  <c:v>45436</c:v>
                </c:pt>
                <c:pt idx="5">
                  <c:v>45467</c:v>
                </c:pt>
                <c:pt idx="6">
                  <c:v>45497</c:v>
                </c:pt>
                <c:pt idx="7">
                  <c:v>45528</c:v>
                </c:pt>
                <c:pt idx="8">
                  <c:v>45559</c:v>
                </c:pt>
                <c:pt idx="9">
                  <c:v>45589</c:v>
                </c:pt>
                <c:pt idx="10">
                  <c:v>45620</c:v>
                </c:pt>
                <c:pt idx="11">
                  <c:v>45650</c:v>
                </c:pt>
              </c:numCache>
            </c:numRef>
          </c:cat>
          <c:val>
            <c:numRef>
              <c:f>'Histórico contas'!$B$37:$AK$37</c:f>
              <c:numCache>
                <c:formatCode>_-"R$"\ * #,##0.00_-;\-"R$"\ * #,##0.00_-;_-"R$"\ * "-"??_-;_-@</c:formatCode>
                <c:ptCount val="12"/>
                <c:pt idx="0">
                  <c:v>7684.5149999999994</c:v>
                </c:pt>
                <c:pt idx="1">
                  <c:v>2598.2950000000001</c:v>
                </c:pt>
                <c:pt idx="2">
                  <c:v>3508.6200000000003</c:v>
                </c:pt>
                <c:pt idx="3">
                  <c:v>2908.875</c:v>
                </c:pt>
                <c:pt idx="4">
                  <c:v>3685.0649999999996</c:v>
                </c:pt>
                <c:pt idx="5">
                  <c:v>4193.1400000000003</c:v>
                </c:pt>
                <c:pt idx="6">
                  <c:v>2475.7600000000002</c:v>
                </c:pt>
                <c:pt idx="7">
                  <c:v>5589.6749999999993</c:v>
                </c:pt>
                <c:pt idx="8">
                  <c:v>10287.16</c:v>
                </c:pt>
                <c:pt idx="9">
                  <c:v>11003.285000000002</c:v>
                </c:pt>
                <c:pt idx="10">
                  <c:v>8607.0499999999993</c:v>
                </c:pt>
                <c:pt idx="11">
                  <c:v>5934.91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73A-A34A-83DB-5E1753B48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856192"/>
        <c:axId val="1578162416"/>
      </c:barChart>
      <c:dateAx>
        <c:axId val="55185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78162416"/>
        <c:crosses val="autoZero"/>
        <c:auto val="1"/>
        <c:lblOffset val="100"/>
        <c:baseTimeUnit val="months"/>
      </c:dateAx>
      <c:valAx>
        <c:axId val="1578162416"/>
        <c:scaling>
          <c:orientation val="minMax"/>
          <c:max val="25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([$R$ -416]* #,##0.00_);_([$R$ -416]* \(#,##0.00\);_([$R$ -416]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518561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1181100</xdr:colOff>
      <xdr:row>13</xdr:row>
      <xdr:rowOff>76200</xdr:rowOff>
    </xdr:from>
    <xdr:ext cx="8696325" cy="3390900"/>
    <xdr:graphicFrame macro="">
      <xdr:nvGraphicFramePr>
        <xdr:cNvPr id="2050207538" name="Chart 1">
          <a:extLst>
            <a:ext uri="{FF2B5EF4-FFF2-40B4-BE49-F238E27FC236}">
              <a16:creationId xmlns:a16="http://schemas.microsoft.com/office/drawing/2014/main" id="{00000000-0008-0000-0100-000032AF3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49</xdr:row>
      <xdr:rowOff>57150</xdr:rowOff>
    </xdr:from>
    <xdr:ext cx="43815000" cy="3133725"/>
    <xdr:graphicFrame macro="">
      <xdr:nvGraphicFramePr>
        <xdr:cNvPr id="486308721" name="Chart 2" title="Gráfico">
          <a:extLst>
            <a:ext uri="{FF2B5EF4-FFF2-40B4-BE49-F238E27FC236}">
              <a16:creationId xmlns:a16="http://schemas.microsoft.com/office/drawing/2014/main" id="{00000000-0008-0000-0300-0000717BF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2"/>
  <sheetViews>
    <sheetView showGridLines="0" tabSelected="1" workbookViewId="0">
      <pane xSplit="1" ySplit="3" topLeftCell="E6" activePane="bottomRight" state="frozen"/>
      <selection pane="topRight" activeCell="B1" sqref="B1"/>
      <selection pane="bottomLeft" activeCell="A4" sqref="A4"/>
      <selection pane="bottomRight" activeCell="M9" sqref="M9"/>
    </sheetView>
  </sheetViews>
  <sheetFormatPr baseColWidth="10" defaultColWidth="14.5" defaultRowHeight="15" customHeight="1" outlineLevelRow="1" x14ac:dyDescent="0.2"/>
  <cols>
    <col min="1" max="1" width="31.1640625" customWidth="1"/>
    <col min="2" max="13" width="20.5" customWidth="1"/>
    <col min="14" max="14" width="3.6640625" customWidth="1"/>
    <col min="15" max="15" width="20.5" customWidth="1"/>
    <col min="18" max="18" width="21.1640625" customWidth="1"/>
    <col min="20" max="20" width="20.1640625" customWidth="1"/>
    <col min="21" max="32" width="20.5" customWidth="1"/>
  </cols>
  <sheetData>
    <row r="1" spans="1:32" ht="2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 s="3" t="s">
        <v>1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O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">
      <c r="A3" s="5" t="s">
        <v>2</v>
      </c>
      <c r="B3" s="6">
        <v>45681</v>
      </c>
      <c r="C3" s="6">
        <v>45712</v>
      </c>
      <c r="D3" s="6">
        <v>45740</v>
      </c>
      <c r="E3" s="6">
        <v>45771</v>
      </c>
      <c r="F3" s="6">
        <v>45801</v>
      </c>
      <c r="G3" s="6">
        <v>45832</v>
      </c>
      <c r="H3" s="6">
        <v>45862</v>
      </c>
      <c r="I3" s="6">
        <v>45893</v>
      </c>
      <c r="J3" s="6">
        <v>45924</v>
      </c>
      <c r="K3" s="6">
        <v>45954</v>
      </c>
      <c r="L3" s="6">
        <v>45985</v>
      </c>
      <c r="M3" s="6">
        <v>46015</v>
      </c>
      <c r="O3" s="6" t="s">
        <v>3</v>
      </c>
    </row>
    <row r="4" spans="1:32" outlineLevel="1" x14ac:dyDescent="0.2">
      <c r="A4" s="7" t="s">
        <v>4</v>
      </c>
      <c r="B4" s="8"/>
      <c r="C4" s="8">
        <v>910.16</v>
      </c>
      <c r="D4" s="9">
        <v>910.16</v>
      </c>
      <c r="E4" s="9">
        <v>910.16</v>
      </c>
      <c r="F4" s="9">
        <v>910.16</v>
      </c>
      <c r="G4" s="9">
        <v>910.16</v>
      </c>
      <c r="H4" s="9">
        <v>910.16</v>
      </c>
      <c r="I4" s="9">
        <v>910.16</v>
      </c>
      <c r="J4" s="9">
        <v>910.16</v>
      </c>
      <c r="K4" s="9">
        <v>910.16</v>
      </c>
      <c r="L4" s="9">
        <v>910.16</v>
      </c>
      <c r="M4" s="9">
        <v>0</v>
      </c>
      <c r="O4" s="8">
        <f t="shared" ref="O4:O13" si="0">IFERROR(AVERAGE(B4:M4),0)</f>
        <v>827.41818181818189</v>
      </c>
    </row>
    <row r="5" spans="1:32" outlineLevel="1" x14ac:dyDescent="0.2">
      <c r="A5" s="7" t="s">
        <v>5</v>
      </c>
      <c r="B5" s="39">
        <v>150</v>
      </c>
      <c r="C5" s="8">
        <v>150</v>
      </c>
      <c r="D5" s="9">
        <v>150</v>
      </c>
      <c r="E5" s="9">
        <v>150</v>
      </c>
      <c r="F5" s="9">
        <v>150</v>
      </c>
      <c r="G5" s="9">
        <v>150</v>
      </c>
      <c r="H5" s="9">
        <v>150</v>
      </c>
      <c r="I5" s="9">
        <v>150</v>
      </c>
      <c r="J5" s="9">
        <v>150</v>
      </c>
      <c r="K5" s="9">
        <v>150</v>
      </c>
      <c r="L5" s="9">
        <v>150</v>
      </c>
      <c r="M5" s="9">
        <v>150</v>
      </c>
      <c r="O5" s="8">
        <f t="shared" si="0"/>
        <v>150</v>
      </c>
    </row>
    <row r="6" spans="1:32" outlineLevel="1" x14ac:dyDescent="0.2">
      <c r="A6" s="7" t="s">
        <v>6</v>
      </c>
      <c r="B6" s="39">
        <v>115.07</v>
      </c>
      <c r="C6" s="8">
        <v>377.76</v>
      </c>
      <c r="D6" s="8">
        <f>'Cartão de Crédito'!F5-E6</f>
        <v>944.8</v>
      </c>
      <c r="E6" s="8">
        <f>'Cartão de Crédito'!G5</f>
        <v>0</v>
      </c>
      <c r="F6" s="8">
        <f>'Cartão de Crédito'!H5</f>
        <v>0</v>
      </c>
      <c r="G6" s="8">
        <f>528.31+588.53</f>
        <v>1116.8399999999999</v>
      </c>
      <c r="H6" s="8">
        <f>'Cartão de Crédito'!J5</f>
        <v>258.83999999999997</v>
      </c>
      <c r="I6" s="8">
        <f>'Cartão de Crédito'!K5</f>
        <v>278.83</v>
      </c>
      <c r="J6" s="8">
        <f>'Cartão de Crédito'!L5</f>
        <v>319.52999999999997</v>
      </c>
      <c r="K6" s="8">
        <f>'Cartão de Crédito'!M5</f>
        <v>0</v>
      </c>
      <c r="L6" s="8">
        <f>'Cartão de Crédito'!N5</f>
        <v>174.93</v>
      </c>
      <c r="M6" s="8">
        <f>'Cartão de Crédito'!O5</f>
        <v>131.29</v>
      </c>
      <c r="O6" s="8">
        <f t="shared" si="0"/>
        <v>309.82416666666666</v>
      </c>
    </row>
    <row r="7" spans="1:32" outlineLevel="1" x14ac:dyDescent="0.2">
      <c r="A7" s="7" t="s">
        <v>7</v>
      </c>
      <c r="B7" s="39">
        <v>206.74</v>
      </c>
      <c r="C7" s="8">
        <v>389.05</v>
      </c>
      <c r="D7" s="9">
        <v>373.24</v>
      </c>
      <c r="E7" s="9">
        <v>265.41000000000003</v>
      </c>
      <c r="F7" s="9">
        <v>367</v>
      </c>
      <c r="G7" s="9">
        <v>587.55999999999995</v>
      </c>
      <c r="H7" s="9">
        <v>528.41999999999996</v>
      </c>
      <c r="I7" s="9">
        <v>446.69</v>
      </c>
      <c r="J7" s="9">
        <v>220.81</v>
      </c>
      <c r="K7" s="9">
        <v>116.46</v>
      </c>
      <c r="L7" s="9">
        <v>325.48</v>
      </c>
      <c r="M7" s="9">
        <v>79.55</v>
      </c>
      <c r="O7" s="8">
        <f t="shared" si="0"/>
        <v>325.53416666666669</v>
      </c>
    </row>
    <row r="8" spans="1:32" outlineLevel="1" x14ac:dyDescent="0.2">
      <c r="A8" s="7" t="s">
        <v>8</v>
      </c>
      <c r="B8" s="39">
        <v>182.43</v>
      </c>
      <c r="C8" s="8">
        <f>'Cartão de Crédito'!E6</f>
        <v>274.89</v>
      </c>
      <c r="D8" s="8">
        <f>'Cartão de Crédito'!F6</f>
        <v>419.79</v>
      </c>
      <c r="E8" s="8">
        <f>'Cartão de Crédito'!G6</f>
        <v>388.12</v>
      </c>
      <c r="F8" s="8">
        <f>'Cartão de Crédito'!H6</f>
        <v>247.5</v>
      </c>
      <c r="G8" s="8">
        <f>'Cartão de Crédito'!I6</f>
        <v>315.68</v>
      </c>
      <c r="H8" s="8">
        <f>'Cartão de Crédito'!J6</f>
        <v>257.55</v>
      </c>
      <c r="I8" s="8">
        <f>'Cartão de Crédito'!K6</f>
        <v>270.19</v>
      </c>
      <c r="J8" s="8">
        <f>'Cartão de Crédito'!L6</f>
        <v>0</v>
      </c>
      <c r="K8" s="8">
        <f>'Cartão de Crédito'!M6</f>
        <v>653.77</v>
      </c>
      <c r="L8" s="8">
        <f>'Cartão de Crédito'!N6</f>
        <v>0</v>
      </c>
      <c r="M8" s="8">
        <f>'Cartão de Crédito'!O6</f>
        <v>284.3</v>
      </c>
      <c r="O8" s="8">
        <f t="shared" si="0"/>
        <v>274.51833333333337</v>
      </c>
    </row>
    <row r="9" spans="1:32" outlineLevel="1" x14ac:dyDescent="0.2">
      <c r="A9" s="7" t="s">
        <v>9</v>
      </c>
      <c r="B9" s="39">
        <f>220*3</f>
        <v>660</v>
      </c>
      <c r="C9" s="8">
        <f>220*2</f>
        <v>440</v>
      </c>
      <c r="D9" s="9">
        <f>220+250</f>
        <v>470</v>
      </c>
      <c r="E9" s="9">
        <f t="shared" ref="E9:F9" si="1">250+250</f>
        <v>500</v>
      </c>
      <c r="F9" s="9">
        <f t="shared" si="1"/>
        <v>500</v>
      </c>
      <c r="G9" s="9">
        <f>250*3</f>
        <v>750</v>
      </c>
      <c r="H9" s="9">
        <f>250*2</f>
        <v>500</v>
      </c>
      <c r="I9" s="9">
        <f>230+250+250+250</f>
        <v>980</v>
      </c>
      <c r="J9" s="9">
        <f t="shared" ref="J9:K9" si="2">250*2</f>
        <v>500</v>
      </c>
      <c r="K9" s="9">
        <f t="shared" si="2"/>
        <v>500</v>
      </c>
      <c r="L9" s="9">
        <v>750</v>
      </c>
      <c r="M9" s="42">
        <v>500</v>
      </c>
      <c r="O9" s="8">
        <f t="shared" si="0"/>
        <v>587.5</v>
      </c>
    </row>
    <row r="10" spans="1:32" outlineLevel="1" x14ac:dyDescent="0.2">
      <c r="A10" s="7" t="s">
        <v>10</v>
      </c>
      <c r="B10" s="39">
        <v>99.9</v>
      </c>
      <c r="C10" s="8">
        <v>99.9</v>
      </c>
      <c r="D10" s="9">
        <v>99.9</v>
      </c>
      <c r="E10" s="9">
        <v>99.9</v>
      </c>
      <c r="F10" s="9">
        <v>99.9</v>
      </c>
      <c r="G10" s="9">
        <v>99.9</v>
      </c>
      <c r="H10" s="9">
        <v>110.28</v>
      </c>
      <c r="I10" s="9">
        <v>110.28</v>
      </c>
      <c r="J10" s="9">
        <v>110.28</v>
      </c>
      <c r="K10" s="9">
        <v>110.28</v>
      </c>
      <c r="L10" s="9">
        <v>110.28</v>
      </c>
      <c r="M10" s="9">
        <v>110.28</v>
      </c>
      <c r="O10" s="8">
        <f t="shared" si="0"/>
        <v>105.08999999999999</v>
      </c>
    </row>
    <row r="11" spans="1:32" outlineLevel="1" x14ac:dyDescent="0.2">
      <c r="A11" s="7" t="s">
        <v>11</v>
      </c>
      <c r="B11" s="39">
        <f t="shared" ref="B11:D11" si="3">210/2</f>
        <v>105</v>
      </c>
      <c r="C11" s="8">
        <f t="shared" si="3"/>
        <v>105</v>
      </c>
      <c r="D11" s="9">
        <f t="shared" si="3"/>
        <v>105</v>
      </c>
      <c r="E11" s="9">
        <v>105</v>
      </c>
      <c r="F11" s="9">
        <v>105</v>
      </c>
      <c r="G11" s="9">
        <v>105</v>
      </c>
      <c r="H11" s="9">
        <v>105</v>
      </c>
      <c r="I11" s="9">
        <v>105</v>
      </c>
      <c r="J11" s="9">
        <v>105</v>
      </c>
      <c r="K11" s="9">
        <v>105</v>
      </c>
      <c r="L11" s="9">
        <v>105</v>
      </c>
      <c r="M11" s="9">
        <v>105</v>
      </c>
      <c r="O11" s="8">
        <f t="shared" si="0"/>
        <v>105</v>
      </c>
    </row>
    <row r="12" spans="1:32" outlineLevel="1" x14ac:dyDescent="0.2">
      <c r="A12" s="7" t="s">
        <v>12</v>
      </c>
      <c r="B12" s="8"/>
      <c r="C12" s="8"/>
      <c r="D12" s="8">
        <f>'Cartão de Crédito'!F7</f>
        <v>75.98</v>
      </c>
      <c r="E12" s="8">
        <f>'Cartão de Crédito'!G7</f>
        <v>75.98</v>
      </c>
      <c r="F12" s="8">
        <f>'Cartão de Crédito'!H7</f>
        <v>75.98</v>
      </c>
      <c r="G12" s="8">
        <f>'Cartão de Crédito'!I7</f>
        <v>75.98</v>
      </c>
      <c r="H12" s="8">
        <f>'Cartão de Crédito'!J7</f>
        <v>75.98</v>
      </c>
      <c r="I12" s="8">
        <f>'Cartão de Crédito'!K7</f>
        <v>75.98</v>
      </c>
      <c r="J12" s="8">
        <f>'Cartão de Crédito'!L7</f>
        <v>75.98</v>
      </c>
      <c r="K12" s="8">
        <f>'Cartão de Crédito'!M7</f>
        <v>75.98</v>
      </c>
      <c r="L12" s="8">
        <f>'Cartão de Crédito'!N7</f>
        <v>75.98</v>
      </c>
      <c r="M12" s="8">
        <f>'Cartão de Crédito'!O7</f>
        <v>75.98</v>
      </c>
      <c r="O12" s="8">
        <f t="shared" si="0"/>
        <v>75.98</v>
      </c>
    </row>
    <row r="13" spans="1:32" outlineLevel="1" x14ac:dyDescent="0.2">
      <c r="A13" s="7" t="s">
        <v>13</v>
      </c>
      <c r="B13" s="8">
        <f>'Cartão de Crédito'!D8</f>
        <v>159.01000000000002</v>
      </c>
      <c r="C13" s="8"/>
      <c r="D13" s="8">
        <f>'Cartão de Crédito'!F8</f>
        <v>188.14</v>
      </c>
      <c r="E13" s="8">
        <f>'Cartão de Crédito'!G8+171.9</f>
        <v>1240.69</v>
      </c>
      <c r="F13" s="8">
        <f>'Cartão de Crédito'!H8+2000</f>
        <v>4397.16</v>
      </c>
      <c r="G13" s="8">
        <f>'Cartão de Crédito'!I8+280</f>
        <v>1903.7500000000002</v>
      </c>
      <c r="H13" s="8">
        <f>'Cartão de Crédito'!J8</f>
        <v>1564.65</v>
      </c>
      <c r="I13" s="8">
        <f>'Cartão de Crédito'!K8</f>
        <v>567.76</v>
      </c>
      <c r="J13" s="8">
        <f>'Cartão de Crédito'!L8</f>
        <v>910.34999999999991</v>
      </c>
      <c r="K13" s="8">
        <f>'Cartão de Crédito'!M8</f>
        <v>1170.79</v>
      </c>
      <c r="L13" s="8">
        <f>'Cartão de Crédito'!N8</f>
        <v>2551.84</v>
      </c>
      <c r="M13" s="8">
        <f>'Cartão de Crédito'!O8</f>
        <v>2289.0899999999997</v>
      </c>
      <c r="O13" s="8">
        <f t="shared" si="0"/>
        <v>1540.2936363636363</v>
      </c>
    </row>
    <row r="14" spans="1:32" x14ac:dyDescent="0.2">
      <c r="A14" s="10" t="s">
        <v>14</v>
      </c>
      <c r="B14" s="11">
        <f t="shared" ref="B14:M14" si="4">SUM(B4:B13)</f>
        <v>1678.15</v>
      </c>
      <c r="C14" s="11">
        <f t="shared" si="4"/>
        <v>2746.7599999999998</v>
      </c>
      <c r="D14" s="11">
        <f t="shared" si="4"/>
        <v>3737.0099999999998</v>
      </c>
      <c r="E14" s="11">
        <f t="shared" si="4"/>
        <v>3735.26</v>
      </c>
      <c r="F14" s="11">
        <f t="shared" si="4"/>
        <v>6852.7</v>
      </c>
      <c r="G14" s="11">
        <f t="shared" si="4"/>
        <v>6014.87</v>
      </c>
      <c r="H14" s="11">
        <f t="shared" si="4"/>
        <v>4460.88</v>
      </c>
      <c r="I14" s="11">
        <f t="shared" si="4"/>
        <v>3894.8900000000003</v>
      </c>
      <c r="J14" s="11">
        <f t="shared" si="4"/>
        <v>3302.11</v>
      </c>
      <c r="K14" s="11">
        <f t="shared" si="4"/>
        <v>3792.44</v>
      </c>
      <c r="L14" s="11">
        <f t="shared" si="4"/>
        <v>5153.67</v>
      </c>
      <c r="M14" s="11">
        <f t="shared" si="4"/>
        <v>3725.49</v>
      </c>
      <c r="O14" s="11">
        <f>SUM(O4:O13)</f>
        <v>4301.1584848484854</v>
      </c>
    </row>
    <row r="15" spans="1:32" outlineLevel="1" x14ac:dyDescent="0.2">
      <c r="A15" s="7" t="s">
        <v>15</v>
      </c>
      <c r="B15" s="8"/>
      <c r="C15" s="8">
        <v>368</v>
      </c>
      <c r="D15" s="9">
        <v>682</v>
      </c>
      <c r="E15" s="9">
        <v>682</v>
      </c>
      <c r="F15" s="9">
        <v>511.5</v>
      </c>
      <c r="G15" s="9">
        <f>140+682</f>
        <v>822</v>
      </c>
      <c r="H15" s="8">
        <f>'Cartão de Crédito'!J9+140</f>
        <v>822</v>
      </c>
      <c r="I15" s="8">
        <f>'Cartão de Crédito'!K9</f>
        <v>2020.52</v>
      </c>
      <c r="J15" s="8">
        <f>'Cartão de Crédito'!L9</f>
        <v>0</v>
      </c>
      <c r="K15" s="8">
        <f>'Cartão de Crédito'!M9</f>
        <v>879</v>
      </c>
      <c r="L15" s="8">
        <f>'Cartão de Crédito'!N9</f>
        <v>735.52</v>
      </c>
      <c r="M15" s="8">
        <f>'Cartão de Crédito'!O9</f>
        <v>426.25</v>
      </c>
      <c r="O15" s="8">
        <f>IFERROR(AVERAGE(B15:M15),0)</f>
        <v>722.61727272727285</v>
      </c>
    </row>
    <row r="16" spans="1:32" outlineLevel="1" x14ac:dyDescent="0.2">
      <c r="A16" s="7" t="s">
        <v>16</v>
      </c>
      <c r="B16" s="8"/>
      <c r="C16" s="8"/>
      <c r="D16" s="9">
        <f>280+140</f>
        <v>420</v>
      </c>
      <c r="E16" s="9">
        <v>650</v>
      </c>
      <c r="F16" s="9">
        <v>520</v>
      </c>
      <c r="G16" s="9">
        <v>650</v>
      </c>
      <c r="H16" s="9">
        <f>420</f>
        <v>420</v>
      </c>
      <c r="I16" s="9">
        <v>560</v>
      </c>
      <c r="J16" s="9">
        <v>560</v>
      </c>
      <c r="K16" s="9">
        <v>280</v>
      </c>
      <c r="L16" s="9">
        <v>420</v>
      </c>
      <c r="M16" s="42">
        <v>700</v>
      </c>
      <c r="O16" s="8"/>
    </row>
    <row r="17" spans="1:19" outlineLevel="1" x14ac:dyDescent="0.2">
      <c r="A17" s="7" t="s">
        <v>17</v>
      </c>
      <c r="B17" s="8">
        <v>54.81</v>
      </c>
      <c r="C17" s="8">
        <v>54.81</v>
      </c>
      <c r="D17" s="8">
        <f>'Cartão de Crédito'!F10</f>
        <v>473.51</v>
      </c>
      <c r="E17" s="8">
        <f>'Cartão de Crédito'!G10</f>
        <v>170.14</v>
      </c>
      <c r="F17" s="8">
        <f>'Cartão de Crédito'!H10</f>
        <v>54.81</v>
      </c>
      <c r="G17" s="8">
        <f>'Cartão de Crédito'!I10</f>
        <v>54.81</v>
      </c>
      <c r="H17" s="8">
        <f>'Cartão de Crédito'!J10</f>
        <v>54.81</v>
      </c>
      <c r="I17" s="8">
        <f>'Cartão de Crédito'!K10</f>
        <v>54.81</v>
      </c>
      <c r="J17" s="8">
        <f>'Cartão de Crédito'!L10</f>
        <v>71.290000000000006</v>
      </c>
      <c r="K17" s="8">
        <f>'Cartão de Crédito'!M10</f>
        <v>54.81</v>
      </c>
      <c r="L17" s="8">
        <f>'Cartão de Crédito'!N10</f>
        <v>69.19</v>
      </c>
      <c r="M17" s="8">
        <f>'Cartão de Crédito'!O10</f>
        <v>57.64</v>
      </c>
      <c r="O17" s="8">
        <f t="shared" ref="O17:O18" si="5">IFERROR(AVERAGE(B17:M17),0)</f>
        <v>102.11999999999999</v>
      </c>
    </row>
    <row r="18" spans="1:19" outlineLevel="1" x14ac:dyDescent="0.2">
      <c r="A18" s="7" t="s">
        <v>18</v>
      </c>
      <c r="B18" s="8">
        <f>'Cartão de Crédito'!D11</f>
        <v>338.52</v>
      </c>
      <c r="C18" s="8">
        <f>'Cartão de Crédito'!E11</f>
        <v>557.98</v>
      </c>
      <c r="D18" s="8">
        <f>'Cartão de Crédito'!F11</f>
        <v>600.27</v>
      </c>
      <c r="E18" s="8">
        <f>'Cartão de Crédito'!G11</f>
        <v>694.32</v>
      </c>
      <c r="F18" s="8">
        <f>'Cartão de Crédito'!H11</f>
        <v>677.02</v>
      </c>
      <c r="G18" s="8">
        <f>'Cartão de Crédito'!I11</f>
        <v>446.61</v>
      </c>
      <c r="H18" s="8">
        <f>'Cartão de Crédito'!J11</f>
        <v>503.81</v>
      </c>
      <c r="I18" s="8">
        <f>'Cartão de Crédito'!K11</f>
        <v>502.27000000000004</v>
      </c>
      <c r="J18" s="8">
        <f>'Cartão de Crédito'!L11</f>
        <v>737.01</v>
      </c>
      <c r="K18" s="8">
        <f>'Cartão de Crédito'!M11</f>
        <v>627.82999999999993</v>
      </c>
      <c r="L18" s="8">
        <f>'Cartão de Crédito'!N11</f>
        <v>658.48</v>
      </c>
      <c r="M18" s="8">
        <f>'Cartão de Crédito'!O11</f>
        <v>487.37</v>
      </c>
      <c r="O18" s="8">
        <f t="shared" si="5"/>
        <v>569.29083333333335</v>
      </c>
    </row>
    <row r="19" spans="1:19" x14ac:dyDescent="0.2">
      <c r="A19" s="10" t="s">
        <v>19</v>
      </c>
      <c r="B19" s="11">
        <f t="shared" ref="B19:M19" si="6">SUM(B15:B18)</f>
        <v>393.33</v>
      </c>
      <c r="C19" s="11">
        <f t="shared" si="6"/>
        <v>980.79</v>
      </c>
      <c r="D19" s="11">
        <f t="shared" si="6"/>
        <v>2175.7799999999997</v>
      </c>
      <c r="E19" s="11">
        <f t="shared" si="6"/>
        <v>2196.46</v>
      </c>
      <c r="F19" s="11">
        <f t="shared" si="6"/>
        <v>1763.33</v>
      </c>
      <c r="G19" s="11">
        <f t="shared" si="6"/>
        <v>1973.42</v>
      </c>
      <c r="H19" s="11">
        <f t="shared" si="6"/>
        <v>1800.62</v>
      </c>
      <c r="I19" s="11">
        <f t="shared" si="6"/>
        <v>3137.6</v>
      </c>
      <c r="J19" s="11">
        <f t="shared" si="6"/>
        <v>1368.3</v>
      </c>
      <c r="K19" s="11">
        <f t="shared" si="6"/>
        <v>1841.6399999999999</v>
      </c>
      <c r="L19" s="11">
        <f t="shared" si="6"/>
        <v>1883.19</v>
      </c>
      <c r="M19" s="11">
        <f t="shared" si="6"/>
        <v>1671.2600000000002</v>
      </c>
      <c r="O19" s="11">
        <f>SUM(O15:O18)</f>
        <v>1394.0281060606062</v>
      </c>
    </row>
    <row r="20" spans="1:19" outlineLevel="1" x14ac:dyDescent="0.2">
      <c r="A20" s="7" t="s">
        <v>20</v>
      </c>
      <c r="B20" s="8">
        <f>2789.68+167.74</f>
        <v>2957.42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O20" s="8">
        <f t="shared" ref="O20:O25" si="7">IFERROR(AVERAGE(B20:M20),0)</f>
        <v>2957.42</v>
      </c>
    </row>
    <row r="21" spans="1:19" ht="15.75" customHeight="1" outlineLevel="1" x14ac:dyDescent="0.2">
      <c r="A21" s="7" t="s">
        <v>21</v>
      </c>
      <c r="B21" s="8"/>
      <c r="C21" s="8"/>
      <c r="D21" s="8"/>
      <c r="E21" s="8">
        <f>'Cartão de Crédito'!G12</f>
        <v>1266.4399999999998</v>
      </c>
      <c r="F21" s="8">
        <f>'Cartão de Crédito'!H12</f>
        <v>60.85</v>
      </c>
      <c r="G21" s="8">
        <f>'Cartão de Crédito'!I12</f>
        <v>60.85</v>
      </c>
      <c r="H21" s="8">
        <f>'Cartão de Crédito'!J12</f>
        <v>60.85</v>
      </c>
      <c r="I21" s="8">
        <f>'Cartão de Crédito'!K12</f>
        <v>60.85</v>
      </c>
      <c r="J21" s="8">
        <f>'Cartão de Crédito'!L12</f>
        <v>2624.5499999999997</v>
      </c>
      <c r="K21" s="8">
        <f>'Cartão de Crédito'!M12</f>
        <v>60.85</v>
      </c>
      <c r="L21" s="8">
        <f>'Cartão de Crédito'!N12</f>
        <v>60.85</v>
      </c>
      <c r="M21" s="8">
        <f>'Cartão de Crédito'!O12</f>
        <v>60.85</v>
      </c>
      <c r="O21" s="8">
        <f t="shared" si="7"/>
        <v>479.66000000000008</v>
      </c>
    </row>
    <row r="22" spans="1:19" ht="15.75" customHeight="1" outlineLevel="1" x14ac:dyDescent="0.2">
      <c r="A22" s="7" t="s">
        <v>22</v>
      </c>
      <c r="B22" s="8">
        <f>'Cartão de Crédito'!D13+193.86</f>
        <v>343.86</v>
      </c>
      <c r="C22" s="8">
        <f>'Cartão de Crédito'!E13</f>
        <v>200</v>
      </c>
      <c r="D22" s="8">
        <f>'Cartão de Crédito'!F13</f>
        <v>50</v>
      </c>
      <c r="E22" s="8">
        <f>'Cartão de Crédito'!G13</f>
        <v>187.2</v>
      </c>
      <c r="F22" s="8">
        <f>'Cartão de Crédito'!H13</f>
        <v>200</v>
      </c>
      <c r="G22" s="8">
        <f>'Cartão de Crédito'!I13</f>
        <v>300</v>
      </c>
      <c r="H22" s="8">
        <f>'Cartão de Crédito'!J13</f>
        <v>150</v>
      </c>
      <c r="I22" s="8">
        <f>'Cartão de Crédito'!K13</f>
        <v>150</v>
      </c>
      <c r="J22" s="8">
        <f>'Cartão de Crédito'!L13</f>
        <v>116.6</v>
      </c>
      <c r="K22" s="8">
        <f>'Cartão de Crédito'!M13</f>
        <v>250</v>
      </c>
      <c r="L22" s="8">
        <f>'Cartão de Crédito'!N13</f>
        <v>150</v>
      </c>
      <c r="M22" s="8">
        <f>'Cartão de Crédito'!O13</f>
        <v>200</v>
      </c>
      <c r="O22" s="8">
        <f t="shared" si="7"/>
        <v>191.47166666666666</v>
      </c>
    </row>
    <row r="23" spans="1:19" ht="15.75" customHeight="1" outlineLevel="1" x14ac:dyDescent="0.2">
      <c r="A23" s="7" t="s">
        <v>23</v>
      </c>
      <c r="B23" s="8">
        <f>'Cartão de Crédito'!D14+110.33</f>
        <v>657.07</v>
      </c>
      <c r="C23" s="8">
        <f>'Cartão de Crédito'!E14</f>
        <v>828.28</v>
      </c>
      <c r="D23" s="8">
        <f>'Cartão de Crédito'!F14</f>
        <v>612.74</v>
      </c>
      <c r="E23" s="8">
        <f>'Cartão de Crédito'!G14</f>
        <v>1158.75</v>
      </c>
      <c r="F23" s="8">
        <f>'Cartão de Crédito'!H14</f>
        <v>756.85</v>
      </c>
      <c r="G23" s="8">
        <f>'Cartão de Crédito'!I14</f>
        <v>980.36</v>
      </c>
      <c r="H23" s="8">
        <f>'Cartão de Crédito'!J14</f>
        <v>651.16999999999996</v>
      </c>
      <c r="I23" s="8">
        <f>'Cartão de Crédito'!K14</f>
        <v>472.28</v>
      </c>
      <c r="J23" s="8">
        <f>'Cartão de Crédito'!L14</f>
        <v>1169.21</v>
      </c>
      <c r="K23" s="8">
        <f>'Cartão de Crédito'!M14</f>
        <v>1022.3100000000001</v>
      </c>
      <c r="L23" s="8">
        <f>'Cartão de Crédito'!N14</f>
        <v>654.08999999999992</v>
      </c>
      <c r="M23" s="8">
        <f>'Cartão de Crédito'!O14</f>
        <v>971.77</v>
      </c>
      <c r="O23" s="8">
        <f t="shared" si="7"/>
        <v>827.90666666666675</v>
      </c>
      <c r="R23" s="12" t="s">
        <v>24</v>
      </c>
    </row>
    <row r="24" spans="1:19" ht="15.75" customHeight="1" outlineLevel="1" x14ac:dyDescent="0.2">
      <c r="A24" s="7" t="s">
        <v>25</v>
      </c>
      <c r="B24" s="8">
        <f>2000+'Cartão de Crédito'!D15</f>
        <v>5568.92</v>
      </c>
      <c r="C24" s="8">
        <f>'Cartão de Crédito'!E15</f>
        <v>2490.5</v>
      </c>
      <c r="D24" s="8">
        <f>'Cartão de Crédito'!F15</f>
        <v>152.69999999999999</v>
      </c>
      <c r="E24" s="8">
        <f>'Cartão de Crédito'!G15+750</f>
        <v>1347.7</v>
      </c>
      <c r="F24" s="8">
        <f>'Cartão de Crédito'!H15</f>
        <v>949.95</v>
      </c>
      <c r="G24" s="8">
        <f>'Cartão de Crédito'!I15</f>
        <v>1029.95</v>
      </c>
      <c r="H24" s="8">
        <f>'Cartão de Crédito'!J15</f>
        <v>877.25</v>
      </c>
      <c r="I24" s="8">
        <f>'Cartão de Crédito'!K15</f>
        <v>422.25</v>
      </c>
      <c r="J24" s="8">
        <f>'Cartão de Crédito'!L15+1000</f>
        <v>1477.5</v>
      </c>
      <c r="K24" s="8">
        <f>'Cartão de Crédito'!M15</f>
        <v>477.5</v>
      </c>
      <c r="L24" s="8">
        <f>'Cartão de Crédito'!N15</f>
        <v>397.5</v>
      </c>
      <c r="M24" s="8">
        <f>'Cartão de Crédito'!O15</f>
        <v>397.5</v>
      </c>
      <c r="O24" s="8">
        <f t="shared" si="7"/>
        <v>1299.1016666666669</v>
      </c>
      <c r="R24" s="12" t="s">
        <v>26</v>
      </c>
      <c r="S24" s="12">
        <f>60*4</f>
        <v>240</v>
      </c>
    </row>
    <row r="25" spans="1:19" ht="15.75" customHeight="1" outlineLevel="1" x14ac:dyDescent="0.2">
      <c r="A25" s="7" t="s">
        <v>27</v>
      </c>
      <c r="B25" s="8">
        <f>'Cartão de Crédito'!D16</f>
        <v>0</v>
      </c>
      <c r="C25" s="8">
        <f>'Cartão de Crédito'!E16</f>
        <v>0</v>
      </c>
      <c r="D25" s="8">
        <f>130+'Cartão de Crédito'!F16</f>
        <v>130</v>
      </c>
      <c r="E25" s="8">
        <f>'Cartão de Crédito'!G16</f>
        <v>0</v>
      </c>
      <c r="F25" s="8">
        <f>'Cartão de Crédito'!H16+82.15</f>
        <v>318.91999999999996</v>
      </c>
      <c r="G25" s="8">
        <f>'Cartão de Crédito'!I16</f>
        <v>34.19</v>
      </c>
      <c r="H25" s="8">
        <f>'Cartão de Crédito'!J16</f>
        <v>0</v>
      </c>
      <c r="I25" s="8">
        <f>'Cartão de Crédito'!K16</f>
        <v>220.93</v>
      </c>
      <c r="J25" s="8">
        <f>'Cartão de Crédito'!L16</f>
        <v>0</v>
      </c>
      <c r="K25" s="8">
        <f>'Cartão de Crédito'!M16</f>
        <v>41.08</v>
      </c>
      <c r="L25" s="8">
        <f>'Cartão de Crédito'!N16</f>
        <v>317.14</v>
      </c>
      <c r="M25" s="8">
        <f>'Cartão de Crédito'!O16</f>
        <v>471.12</v>
      </c>
      <c r="O25" s="8">
        <f t="shared" si="7"/>
        <v>127.78166666666668</v>
      </c>
      <c r="R25" s="13" t="s">
        <v>28</v>
      </c>
      <c r="S25" s="12">
        <v>150</v>
      </c>
    </row>
    <row r="26" spans="1:19" ht="15.75" customHeight="1" x14ac:dyDescent="0.2">
      <c r="A26" s="10" t="s">
        <v>29</v>
      </c>
      <c r="B26" s="11">
        <f t="shared" ref="B26:M26" si="8">SUM(B20:B25)</f>
        <v>9527.27</v>
      </c>
      <c r="C26" s="11">
        <f t="shared" si="8"/>
        <v>3518.7799999999997</v>
      </c>
      <c r="D26" s="11">
        <f t="shared" si="8"/>
        <v>945.44</v>
      </c>
      <c r="E26" s="11">
        <f t="shared" si="8"/>
        <v>3960.09</v>
      </c>
      <c r="F26" s="11">
        <f t="shared" si="8"/>
        <v>2286.5700000000002</v>
      </c>
      <c r="G26" s="11">
        <f t="shared" si="8"/>
        <v>2405.35</v>
      </c>
      <c r="H26" s="11">
        <f t="shared" si="8"/>
        <v>1739.27</v>
      </c>
      <c r="I26" s="11">
        <f t="shared" si="8"/>
        <v>1326.3100000000002</v>
      </c>
      <c r="J26" s="11">
        <f t="shared" si="8"/>
        <v>5387.86</v>
      </c>
      <c r="K26" s="11">
        <f t="shared" si="8"/>
        <v>1851.74</v>
      </c>
      <c r="L26" s="11">
        <f t="shared" si="8"/>
        <v>1579.58</v>
      </c>
      <c r="M26" s="11">
        <f t="shared" si="8"/>
        <v>2101.2399999999998</v>
      </c>
      <c r="O26" s="11">
        <f>SUM(O20:O25)</f>
        <v>5883.3416666666681</v>
      </c>
      <c r="R26" s="12" t="s">
        <v>30</v>
      </c>
    </row>
    <row r="27" spans="1:19" ht="15.75" customHeight="1" outlineLevel="1" x14ac:dyDescent="0.2">
      <c r="A27" s="14" t="s">
        <v>31</v>
      </c>
      <c r="B27" s="8">
        <f>'Cartão de Crédito'!D17+289.37</f>
        <v>2109.9799999999996</v>
      </c>
      <c r="C27" s="8">
        <f>'Cartão de Crédito'!E17</f>
        <v>1115.0100000000002</v>
      </c>
      <c r="D27" s="8">
        <f>'Cartão de Crédito'!F17+225.56</f>
        <v>1036.3799999999999</v>
      </c>
      <c r="E27" s="8">
        <f>'Cartão de Crédito'!G17</f>
        <v>385.05000000000007</v>
      </c>
      <c r="F27" s="8">
        <f>'Cartão de Crédito'!H17+265.3</f>
        <v>1578.4099999999999</v>
      </c>
      <c r="G27" s="8">
        <f>'Cartão de Crédito'!I17</f>
        <v>407.62</v>
      </c>
      <c r="H27" s="8">
        <f>'Cartão de Crédito'!J17</f>
        <v>417.76</v>
      </c>
      <c r="I27" s="8">
        <f>'Cartão de Crédito'!K17</f>
        <v>162.99999999999997</v>
      </c>
      <c r="J27" s="8">
        <f>'Cartão de Crédito'!L17+37.82</f>
        <v>1504.6399999999999</v>
      </c>
      <c r="K27" s="8">
        <f>'Cartão de Crédito'!M17</f>
        <v>592.37</v>
      </c>
      <c r="L27" s="8">
        <f>'Cartão de Crédito'!N17</f>
        <v>394.29</v>
      </c>
      <c r="M27" s="8">
        <f>'Cartão de Crédito'!O17</f>
        <v>604.54</v>
      </c>
      <c r="O27" s="8">
        <f t="shared" ref="O27:O30" si="9">IFERROR(AVERAGE(B27:M27),0)</f>
        <v>859.0875000000002</v>
      </c>
      <c r="R27" s="13" t="s">
        <v>32</v>
      </c>
      <c r="S27" s="12">
        <f>200*2</f>
        <v>400</v>
      </c>
    </row>
    <row r="28" spans="1:19" ht="15.75" customHeight="1" outlineLevel="1" x14ac:dyDescent="0.2">
      <c r="A28" s="14" t="s">
        <v>33</v>
      </c>
      <c r="B28" s="8">
        <f>'Cartão de Crédito'!D18</f>
        <v>1149.6300000000001</v>
      </c>
      <c r="C28" s="8">
        <f>'Cartão de Crédito'!E18</f>
        <v>1233.49</v>
      </c>
      <c r="D28" s="8">
        <f>'Cartão de Crédito'!F18+176</f>
        <v>1593.6899999999998</v>
      </c>
      <c r="E28" s="8">
        <f>'Cartão de Crédito'!G18</f>
        <v>1806.53</v>
      </c>
      <c r="F28" s="8">
        <f>'Cartão de Crédito'!H18</f>
        <v>2925.31</v>
      </c>
      <c r="G28" s="8">
        <f>'Cartão de Crédito'!I18</f>
        <v>1343.9999999999998</v>
      </c>
      <c r="H28" s="8">
        <f>'Cartão de Crédito'!J18</f>
        <v>1918.62</v>
      </c>
      <c r="I28" s="8">
        <f>'Cartão de Crédito'!K18</f>
        <v>2591.0899999999997</v>
      </c>
      <c r="J28" s="8">
        <f>'Cartão de Crédito'!L18</f>
        <v>2010.63</v>
      </c>
      <c r="K28" s="8">
        <f>'Cartão de Crédito'!M18</f>
        <v>722.54</v>
      </c>
      <c r="L28" s="8">
        <f>'Cartão de Crédito'!N18</f>
        <v>4309.6000000000004</v>
      </c>
      <c r="M28" s="8">
        <f>'Cartão de Crédito'!O18</f>
        <v>1189.3399999999999</v>
      </c>
      <c r="O28" s="8">
        <f t="shared" si="9"/>
        <v>1899.5391666666671</v>
      </c>
      <c r="R28" s="12" t="s">
        <v>34</v>
      </c>
    </row>
    <row r="29" spans="1:19" ht="15.75" customHeight="1" outlineLevel="1" x14ac:dyDescent="0.2">
      <c r="A29" s="14" t="s">
        <v>35</v>
      </c>
      <c r="B29" s="8">
        <f>'Cartão de Crédito'!D19</f>
        <v>540.66999999999996</v>
      </c>
      <c r="C29" s="8">
        <f>'Cartão de Crédito'!E19</f>
        <v>891</v>
      </c>
      <c r="D29" s="8">
        <f>'Cartão de Crédito'!F19</f>
        <v>413</v>
      </c>
      <c r="E29" s="8">
        <f>'Cartão de Crédito'!G19</f>
        <v>427.79999999999995</v>
      </c>
      <c r="F29" s="8">
        <f>'Cartão de Crédito'!H19+145.49</f>
        <v>535.98</v>
      </c>
      <c r="G29" s="8">
        <f>'Cartão de Crédito'!I19</f>
        <v>929.19</v>
      </c>
      <c r="H29" s="8">
        <f>'Cartão de Crédito'!J19</f>
        <v>1238.1099999999999</v>
      </c>
      <c r="I29" s="8">
        <f>'Cartão de Crédito'!K19</f>
        <v>456.02</v>
      </c>
      <c r="J29" s="8">
        <f>'Cartão de Crédito'!L19</f>
        <v>1142.3500000000001</v>
      </c>
      <c r="K29" s="8">
        <f>'Cartão de Crédito'!M19</f>
        <v>993.78999999999974</v>
      </c>
      <c r="L29" s="8">
        <f>'Cartão de Crédito'!N19</f>
        <v>392.26</v>
      </c>
      <c r="M29" s="8">
        <f>'Cartão de Crédito'!O19</f>
        <v>826.38</v>
      </c>
      <c r="O29" s="8">
        <f t="shared" si="9"/>
        <v>732.21250000000009</v>
      </c>
      <c r="R29" s="13" t="s">
        <v>36</v>
      </c>
      <c r="S29" s="12">
        <f>120*1.5*4</f>
        <v>720</v>
      </c>
    </row>
    <row r="30" spans="1:19" ht="14.25" customHeight="1" outlineLevel="1" x14ac:dyDescent="0.2">
      <c r="A30" s="14" t="s">
        <v>37</v>
      </c>
      <c r="B30" s="8"/>
      <c r="C30" s="8"/>
      <c r="D30" s="9">
        <v>514</v>
      </c>
      <c r="E30" s="9"/>
      <c r="F30" s="8">
        <f>'Cartão de Crédito'!H25+608.42</f>
        <v>1430.42</v>
      </c>
      <c r="G30" s="8">
        <f>'Cartão de Crédito'!I25</f>
        <v>0</v>
      </c>
      <c r="H30" s="8">
        <f>'Cartão de Crédito'!J25</f>
        <v>0</v>
      </c>
      <c r="I30" s="8">
        <f>'Cartão de Crédito'!K25</f>
        <v>0</v>
      </c>
      <c r="J30" s="8">
        <f>'Cartão de Crédito'!L25</f>
        <v>189</v>
      </c>
      <c r="K30" s="8">
        <f>'Cartão de Crédito'!M25</f>
        <v>0</v>
      </c>
      <c r="L30" s="8">
        <f>'Cartão de Crédito'!N25</f>
        <v>0</v>
      </c>
      <c r="M30" s="8">
        <f>'Cartão de Crédito'!O25</f>
        <v>0</v>
      </c>
      <c r="O30" s="8">
        <f t="shared" si="9"/>
        <v>237.04666666666668</v>
      </c>
      <c r="R30" s="13" t="s">
        <v>38</v>
      </c>
      <c r="S30" s="12">
        <v>350</v>
      </c>
    </row>
    <row r="31" spans="1:19" ht="15.75" customHeight="1" x14ac:dyDescent="0.2">
      <c r="A31" s="10" t="s">
        <v>39</v>
      </c>
      <c r="B31" s="11">
        <f t="shared" ref="B31:M31" si="10">SUM(B27:B30)</f>
        <v>3800.2799999999997</v>
      </c>
      <c r="C31" s="11">
        <f t="shared" si="10"/>
        <v>3239.5</v>
      </c>
      <c r="D31" s="11">
        <f t="shared" si="10"/>
        <v>3557.0699999999997</v>
      </c>
      <c r="E31" s="11">
        <f t="shared" si="10"/>
        <v>2619.38</v>
      </c>
      <c r="F31" s="11">
        <f t="shared" si="10"/>
        <v>6470.119999999999</v>
      </c>
      <c r="G31" s="11">
        <f t="shared" si="10"/>
        <v>2680.81</v>
      </c>
      <c r="H31" s="11">
        <f t="shared" si="10"/>
        <v>3574.49</v>
      </c>
      <c r="I31" s="11">
        <f t="shared" si="10"/>
        <v>3210.1099999999997</v>
      </c>
      <c r="J31" s="11">
        <f t="shared" si="10"/>
        <v>4846.62</v>
      </c>
      <c r="K31" s="11">
        <f t="shared" si="10"/>
        <v>2308.6999999999998</v>
      </c>
      <c r="L31" s="11">
        <f t="shared" si="10"/>
        <v>5096.1500000000005</v>
      </c>
      <c r="M31" s="11">
        <f t="shared" si="10"/>
        <v>2620.2599999999998</v>
      </c>
      <c r="O31" s="11">
        <f>SUM(O27:O30)</f>
        <v>3727.8858333333342</v>
      </c>
    </row>
    <row r="32" spans="1:19" ht="14.25" customHeight="1" outlineLevel="1" x14ac:dyDescent="0.2">
      <c r="A32" s="14" t="s">
        <v>40</v>
      </c>
      <c r="B32" s="8">
        <f>'Cartão de Crédito'!D20</f>
        <v>0</v>
      </c>
      <c r="C32" s="8">
        <f>'Cartão de Crédito'!E20</f>
        <v>0</v>
      </c>
      <c r="D32" s="8">
        <f>'Cartão de Crédito'!F20</f>
        <v>0</v>
      </c>
      <c r="E32" s="8">
        <f>'Cartão de Crédito'!G20</f>
        <v>0</v>
      </c>
      <c r="F32" s="8">
        <f>'Cartão de Crédito'!H20</f>
        <v>0</v>
      </c>
      <c r="G32" s="8">
        <f>'Cartão de Crédito'!I20</f>
        <v>0</v>
      </c>
      <c r="H32" s="8">
        <f>'Cartão de Crédito'!J20</f>
        <v>0</v>
      </c>
      <c r="I32" s="8">
        <f>'Cartão de Crédito'!K20</f>
        <v>0</v>
      </c>
      <c r="J32" s="8">
        <f>'Cartão de Crédito'!L20</f>
        <v>0</v>
      </c>
      <c r="K32" s="8">
        <f>'Cartão de Crédito'!M20</f>
        <v>580</v>
      </c>
      <c r="L32" s="8">
        <f>'Cartão de Crédito'!N20</f>
        <v>809</v>
      </c>
      <c r="M32" s="8">
        <f>'Cartão de Crédito'!O20</f>
        <v>0</v>
      </c>
      <c r="O32" s="8"/>
      <c r="R32" s="12"/>
    </row>
    <row r="33" spans="1:18" ht="14.25" customHeight="1" outlineLevel="1" x14ac:dyDescent="0.2">
      <c r="A33" s="14" t="s">
        <v>41</v>
      </c>
      <c r="B33" s="8">
        <f>'Cartão de Crédito'!D21</f>
        <v>162.57</v>
      </c>
      <c r="C33" s="8">
        <f>'Cartão de Crédito'!E21</f>
        <v>236.04000000000002</v>
      </c>
      <c r="D33" s="8">
        <f>'Cartão de Crédito'!F21</f>
        <v>83.89</v>
      </c>
      <c r="E33" s="8">
        <f>'Cartão de Crédito'!G21</f>
        <v>525.52</v>
      </c>
      <c r="F33" s="8">
        <f>'Cartão de Crédito'!H21</f>
        <v>0</v>
      </c>
      <c r="G33" s="8">
        <f>'Cartão de Crédito'!I21</f>
        <v>0</v>
      </c>
      <c r="H33" s="8">
        <f>'Cartão de Crédito'!J21</f>
        <v>257.74</v>
      </c>
      <c r="I33" s="8">
        <f>'Cartão de Crédito'!K21</f>
        <v>284.58999999999997</v>
      </c>
      <c r="J33" s="8">
        <f>'Cartão de Crédito'!L21</f>
        <v>0</v>
      </c>
      <c r="K33" s="8">
        <f>'Cartão de Crédito'!M21</f>
        <v>224.54</v>
      </c>
      <c r="L33" s="8">
        <f>'Cartão de Crédito'!N21</f>
        <v>222.03</v>
      </c>
      <c r="M33" s="8">
        <f>'Cartão de Crédito'!O21</f>
        <v>628.4</v>
      </c>
      <c r="O33" s="8">
        <f>IFERROR(AVERAGE(B33:M33),0)</f>
        <v>218.77666666666664</v>
      </c>
      <c r="R33" s="12"/>
    </row>
    <row r="34" spans="1:18" ht="15.75" customHeight="1" x14ac:dyDescent="0.2">
      <c r="A34" s="10" t="s">
        <v>42</v>
      </c>
      <c r="B34" s="11">
        <f t="shared" ref="B34:M34" si="11">SUM(B32:B33,)</f>
        <v>162.57</v>
      </c>
      <c r="C34" s="11">
        <f t="shared" si="11"/>
        <v>236.04000000000002</v>
      </c>
      <c r="D34" s="11">
        <f t="shared" si="11"/>
        <v>83.89</v>
      </c>
      <c r="E34" s="11">
        <f t="shared" si="11"/>
        <v>525.52</v>
      </c>
      <c r="F34" s="11">
        <f t="shared" si="11"/>
        <v>0</v>
      </c>
      <c r="G34" s="11">
        <f t="shared" si="11"/>
        <v>0</v>
      </c>
      <c r="H34" s="11">
        <f t="shared" si="11"/>
        <v>257.74</v>
      </c>
      <c r="I34" s="11">
        <f t="shared" si="11"/>
        <v>284.58999999999997</v>
      </c>
      <c r="J34" s="11">
        <f t="shared" si="11"/>
        <v>0</v>
      </c>
      <c r="K34" s="11">
        <f t="shared" si="11"/>
        <v>804.54</v>
      </c>
      <c r="L34" s="11">
        <f t="shared" si="11"/>
        <v>1031.03</v>
      </c>
      <c r="M34" s="11">
        <f t="shared" si="11"/>
        <v>628.4</v>
      </c>
      <c r="O34" s="11">
        <f>SUM(O33)</f>
        <v>218.77666666666664</v>
      </c>
    </row>
    <row r="35" spans="1:18" ht="15.75" customHeight="1" outlineLevel="1" x14ac:dyDescent="0.2">
      <c r="A35" s="14" t="s">
        <v>43</v>
      </c>
      <c r="B35" s="8">
        <f>'Cartão de Crédito'!D22+570</f>
        <v>4601.76</v>
      </c>
      <c r="C35" s="8">
        <f>'Cartão de Crédito'!E22</f>
        <v>2674.5266666666671</v>
      </c>
      <c r="D35" s="8">
        <f>71.4+'Cartão de Crédito'!F22</f>
        <v>568.16999999999996</v>
      </c>
      <c r="E35" s="8">
        <f>'Cartão de Crédito'!G22</f>
        <v>3612.29</v>
      </c>
      <c r="F35" s="8">
        <f>'Cartão de Crédito'!H22+326</f>
        <v>7830.9599999999991</v>
      </c>
      <c r="G35" s="8">
        <f>'Cartão de Crédito'!I22</f>
        <v>3897.95</v>
      </c>
      <c r="H35" s="8">
        <f>'Cartão de Crédito'!J22</f>
        <v>2821.8900000000003</v>
      </c>
      <c r="I35" s="8">
        <f>'Cartão de Crédito'!K22</f>
        <v>1732.85</v>
      </c>
      <c r="J35" s="8">
        <f>'Cartão de Crédito'!L22</f>
        <v>2383.46</v>
      </c>
      <c r="K35" s="8">
        <f>'Cartão de Crédito'!M22</f>
        <v>3747.7700000000004</v>
      </c>
      <c r="L35" s="8">
        <f>'Cartão de Crédito'!N22</f>
        <v>4181.8</v>
      </c>
      <c r="M35" s="8">
        <f>'Cartão de Crédito'!O22</f>
        <v>3713.29</v>
      </c>
      <c r="O35" s="8">
        <f t="shared" ref="O35:O36" si="12">IFERROR(AVERAGE(B35:M35),0)</f>
        <v>3480.5597222222223</v>
      </c>
    </row>
    <row r="36" spans="1:18" ht="15.75" customHeight="1" outlineLevel="1" x14ac:dyDescent="0.2">
      <c r="A36" s="14" t="s">
        <v>44</v>
      </c>
      <c r="B36" s="8">
        <f>'Cartão de Crédito'!D23</f>
        <v>0</v>
      </c>
      <c r="C36" s="8">
        <f>'Cartão de Crédito'!E23</f>
        <v>1205</v>
      </c>
      <c r="D36" s="8">
        <f>'Cartão de Crédito'!F23+40</f>
        <v>147</v>
      </c>
      <c r="E36" s="8">
        <f>'Cartão de Crédito'!G23</f>
        <v>437.19</v>
      </c>
      <c r="F36" s="8">
        <f>'Cartão de Crédito'!H23</f>
        <v>703.2</v>
      </c>
      <c r="G36" s="8">
        <f>'Cartão de Crédito'!I23</f>
        <v>459</v>
      </c>
      <c r="H36" s="8">
        <f>'Cartão de Crédito'!J23+150</f>
        <v>394</v>
      </c>
      <c r="I36" s="8">
        <f>'Cartão de Crédito'!K23</f>
        <v>346</v>
      </c>
      <c r="J36" s="8">
        <f>'Cartão de Crédito'!L23</f>
        <v>1084.3600000000001</v>
      </c>
      <c r="K36" s="8">
        <f>'Cartão de Crédito'!M23</f>
        <v>0</v>
      </c>
      <c r="L36" s="8">
        <f>'Cartão de Crédito'!N23</f>
        <v>160</v>
      </c>
      <c r="M36" s="8">
        <f>'Cartão de Crédito'!O23</f>
        <v>534.75</v>
      </c>
      <c r="O36" s="8">
        <f t="shared" si="12"/>
        <v>455.875</v>
      </c>
      <c r="R36" s="12"/>
    </row>
    <row r="37" spans="1:18" ht="15.75" customHeight="1" x14ac:dyDescent="0.2">
      <c r="A37" s="10" t="s">
        <v>45</v>
      </c>
      <c r="B37" s="11">
        <f t="shared" ref="B37:M37" si="13">SUM(B35:B36)</f>
        <v>4601.76</v>
      </c>
      <c r="C37" s="11">
        <f t="shared" si="13"/>
        <v>3879.5266666666671</v>
      </c>
      <c r="D37" s="11">
        <f t="shared" si="13"/>
        <v>715.17</v>
      </c>
      <c r="E37" s="11">
        <f t="shared" si="13"/>
        <v>4049.48</v>
      </c>
      <c r="F37" s="11">
        <f t="shared" si="13"/>
        <v>8534.16</v>
      </c>
      <c r="G37" s="11">
        <f t="shared" si="13"/>
        <v>4356.95</v>
      </c>
      <c r="H37" s="11">
        <f t="shared" si="13"/>
        <v>3215.8900000000003</v>
      </c>
      <c r="I37" s="11">
        <f t="shared" si="13"/>
        <v>2078.85</v>
      </c>
      <c r="J37" s="11">
        <f t="shared" si="13"/>
        <v>3467.82</v>
      </c>
      <c r="K37" s="11">
        <f t="shared" si="13"/>
        <v>3747.7700000000004</v>
      </c>
      <c r="L37" s="11">
        <f t="shared" si="13"/>
        <v>4341.8</v>
      </c>
      <c r="M37" s="11">
        <f t="shared" si="13"/>
        <v>4248.04</v>
      </c>
      <c r="O37" s="11">
        <f>SUM(O35:O36)</f>
        <v>3936.4347222222223</v>
      </c>
      <c r="R37" s="12"/>
    </row>
    <row r="38" spans="1:18" ht="15.75" customHeight="1" x14ac:dyDescent="0.2">
      <c r="A38" s="14" t="s">
        <v>46</v>
      </c>
      <c r="B38" s="15">
        <f>'Cartão de Crédito'!D26</f>
        <v>0</v>
      </c>
      <c r="C38" s="15">
        <f>'Cartão de Crédito'!E26</f>
        <v>0</v>
      </c>
      <c r="D38" s="15">
        <f>'Cartão de Crédito'!F26</f>
        <v>0</v>
      </c>
      <c r="E38" s="15">
        <f>'Cartão de Crédito'!G26</f>
        <v>0</v>
      </c>
      <c r="F38" s="15">
        <f>'Cartão de Crédito'!H26</f>
        <v>0</v>
      </c>
      <c r="G38" s="15">
        <f>'Cartão de Crédito'!I26</f>
        <v>0</v>
      </c>
      <c r="H38" s="15">
        <f>'Cartão de Crédito'!J26</f>
        <v>0</v>
      </c>
      <c r="I38" s="15">
        <f>'Cartão de Crédito'!K26</f>
        <v>0</v>
      </c>
      <c r="J38" s="15">
        <f>'Cartão de Crédito'!L26</f>
        <v>0</v>
      </c>
      <c r="K38" s="15">
        <f>'Cartão de Crédito'!M26</f>
        <v>0</v>
      </c>
      <c r="L38" s="15">
        <f>'Cartão de Crédito'!N26</f>
        <v>369.99</v>
      </c>
      <c r="M38" s="15">
        <f>'Cartão de Crédito'!O26</f>
        <v>958.88</v>
      </c>
      <c r="O38" s="11"/>
      <c r="R38" s="12"/>
    </row>
    <row r="39" spans="1:18" ht="15.75" customHeight="1" x14ac:dyDescent="0.2">
      <c r="A39" s="10" t="s">
        <v>47</v>
      </c>
      <c r="B39" s="11">
        <f>'Cartão de Crédito'!D27+'Cartão de Crédito'!D24</f>
        <v>200</v>
      </c>
      <c r="C39" s="11">
        <f>'Cartão de Crédito'!E27+'Cartão de Crédito'!E24</f>
        <v>0</v>
      </c>
      <c r="D39" s="11">
        <f>'Cartão de Crédito'!F27+'Cartão de Crédito'!F24</f>
        <v>0</v>
      </c>
      <c r="E39" s="11">
        <f>'Cartão de Crédito'!G27+'Cartão de Crédito'!G24</f>
        <v>468.52</v>
      </c>
      <c r="F39" s="11">
        <f>'Cartão de Crédito'!H27++'Cartão de Crédito'!H24</f>
        <v>159.28</v>
      </c>
      <c r="G39" s="11">
        <f>'Cartão de Crédito'!I27+300+300+'Cartão de Crédito'!I24</f>
        <v>624.12</v>
      </c>
      <c r="H39" s="11">
        <f>'Cartão de Crédito'!J27+458.72+'Cartão de Crédito'!J24</f>
        <v>530.57000000000005</v>
      </c>
      <c r="I39" s="11">
        <f>'Cartão de Crédito'!K27++'Cartão de Crédito'!K24</f>
        <v>750.81000000000006</v>
      </c>
      <c r="J39" s="11">
        <f>'Cartão de Crédito'!L27++'Cartão de Crédito'!L24+24.2+55</f>
        <v>295.60000000000002</v>
      </c>
      <c r="K39" s="11">
        <f>'Cartão de Crédito'!M27++'Cartão de Crédito'!M24</f>
        <v>0</v>
      </c>
      <c r="L39" s="11">
        <f>'Cartão de Crédito'!N27++'Cartão de Crédito'!N24</f>
        <v>652.75</v>
      </c>
      <c r="M39" s="11">
        <f>'Cartão de Crédito'!O27++'Cartão de Crédito'!O24</f>
        <v>2433.81</v>
      </c>
      <c r="O39" s="11">
        <f t="shared" ref="O39:O40" si="14">IFERROR(AVERAGE(B39:M39),0)</f>
        <v>509.62166666666667</v>
      </c>
      <c r="R39" s="12"/>
    </row>
    <row r="40" spans="1:18" ht="15.75" customHeight="1" x14ac:dyDescent="0.2">
      <c r="A40" s="10" t="s">
        <v>48</v>
      </c>
      <c r="B40" s="11">
        <v>7916.666666666667</v>
      </c>
      <c r="C40" s="11">
        <v>7916.666666666667</v>
      </c>
      <c r="D40" s="11">
        <v>7916.666666666667</v>
      </c>
      <c r="E40" s="11">
        <v>7916.666666666667</v>
      </c>
      <c r="F40" s="11">
        <v>7916.666666666667</v>
      </c>
      <c r="G40" s="11">
        <v>7916.666666666667</v>
      </c>
      <c r="H40" s="11">
        <v>7916.666666666667</v>
      </c>
      <c r="I40" s="11">
        <v>7916.666666666667</v>
      </c>
      <c r="J40" s="11">
        <v>7916.666666666667</v>
      </c>
      <c r="K40" s="11">
        <v>7916.666666666667</v>
      </c>
      <c r="L40" s="11">
        <v>7916.666666666667</v>
      </c>
      <c r="M40" s="11">
        <v>7916.666666666667</v>
      </c>
      <c r="O40" s="11">
        <f t="shared" si="14"/>
        <v>7916.6666666666679</v>
      </c>
      <c r="R40" s="12"/>
    </row>
    <row r="41" spans="1:18" ht="5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O41" s="2"/>
    </row>
    <row r="42" spans="1:18" ht="15.75" customHeight="1" x14ac:dyDescent="0.2">
      <c r="A42" s="16" t="s">
        <v>49</v>
      </c>
      <c r="B42" s="17">
        <f t="shared" ref="B42:K42" si="15">B14+B19+B26+B31+B34+B37+B39+B40</f>
        <v>28280.026666666668</v>
      </c>
      <c r="C42" s="17">
        <f t="shared" si="15"/>
        <v>22518.063333333335</v>
      </c>
      <c r="D42" s="17">
        <f t="shared" si="15"/>
        <v>19131.026666666665</v>
      </c>
      <c r="E42" s="17">
        <f t="shared" si="15"/>
        <v>25471.376666666671</v>
      </c>
      <c r="F42" s="17">
        <f t="shared" si="15"/>
        <v>33982.82666666666</v>
      </c>
      <c r="G42" s="17">
        <f t="shared" si="15"/>
        <v>25972.186666666665</v>
      </c>
      <c r="H42" s="17">
        <f t="shared" si="15"/>
        <v>23496.126666666667</v>
      </c>
      <c r="I42" s="17">
        <f t="shared" si="15"/>
        <v>22599.826666666668</v>
      </c>
      <c r="J42" s="17">
        <f t="shared" si="15"/>
        <v>26584.976666666666</v>
      </c>
      <c r="K42" s="17">
        <f t="shared" si="15"/>
        <v>22263.49666666667</v>
      </c>
      <c r="L42" s="17">
        <f>L14+L19+L26+L31+L34+L37+L39+L40+L38</f>
        <v>28024.826666666671</v>
      </c>
      <c r="M42" s="17">
        <f>M14+M19+M26+M31+M34+M37+M39+M40</f>
        <v>25345.166666666668</v>
      </c>
      <c r="O42" s="17">
        <f>O14+O19+O26+O31+O34+O37+O39+O40</f>
        <v>27887.913813131316</v>
      </c>
      <c r="R42" s="12"/>
    </row>
    <row r="43" spans="1:18" ht="5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O43" s="2"/>
    </row>
    <row r="44" spans="1:18" ht="15.75" customHeight="1" x14ac:dyDescent="0.2">
      <c r="A44" s="18" t="s">
        <v>50</v>
      </c>
      <c r="B44" s="19">
        <f t="shared" ref="B44:M44" si="16">B42/2</f>
        <v>14140.013333333334</v>
      </c>
      <c r="C44" s="19">
        <f t="shared" si="16"/>
        <v>11259.031666666668</v>
      </c>
      <c r="D44" s="19">
        <f t="shared" si="16"/>
        <v>9565.5133333333324</v>
      </c>
      <c r="E44" s="19">
        <f t="shared" si="16"/>
        <v>12735.688333333335</v>
      </c>
      <c r="F44" s="19">
        <f t="shared" si="16"/>
        <v>16991.41333333333</v>
      </c>
      <c r="G44" s="19">
        <f t="shared" si="16"/>
        <v>12986.093333333332</v>
      </c>
      <c r="H44" s="19">
        <f t="shared" si="16"/>
        <v>11748.063333333334</v>
      </c>
      <c r="I44" s="19">
        <f t="shared" si="16"/>
        <v>11299.913333333334</v>
      </c>
      <c r="J44" s="19">
        <f t="shared" si="16"/>
        <v>13292.488333333333</v>
      </c>
      <c r="K44" s="19">
        <f t="shared" si="16"/>
        <v>11131.748333333335</v>
      </c>
      <c r="L44" s="19">
        <f t="shared" si="16"/>
        <v>14012.413333333336</v>
      </c>
      <c r="M44" s="19">
        <f t="shared" si="16"/>
        <v>12672.583333333334</v>
      </c>
      <c r="O44" s="19">
        <f>O42/2</f>
        <v>13943.956906565658</v>
      </c>
    </row>
    <row r="45" spans="1:18" ht="5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2"/>
    </row>
    <row r="46" spans="1:18" ht="15.75" customHeight="1" x14ac:dyDescent="0.2">
      <c r="A46" s="20" t="s">
        <v>51</v>
      </c>
      <c r="B46" s="21">
        <f t="shared" ref="B46:M46" si="17">B42-B40</f>
        <v>20363.36</v>
      </c>
      <c r="C46" s="21">
        <f t="shared" si="17"/>
        <v>14601.396666666667</v>
      </c>
      <c r="D46" s="21">
        <f t="shared" si="17"/>
        <v>11214.359999999997</v>
      </c>
      <c r="E46" s="21">
        <f t="shared" si="17"/>
        <v>17554.710000000003</v>
      </c>
      <c r="F46" s="21">
        <f t="shared" si="17"/>
        <v>26066.159999999993</v>
      </c>
      <c r="G46" s="21">
        <f t="shared" si="17"/>
        <v>18055.519999999997</v>
      </c>
      <c r="H46" s="21">
        <f t="shared" si="17"/>
        <v>15579.46</v>
      </c>
      <c r="I46" s="21">
        <f t="shared" si="17"/>
        <v>14683.16</v>
      </c>
      <c r="J46" s="21">
        <f t="shared" si="17"/>
        <v>18668.309999999998</v>
      </c>
      <c r="K46" s="21">
        <f t="shared" si="17"/>
        <v>14346.830000000002</v>
      </c>
      <c r="L46" s="21">
        <f t="shared" si="17"/>
        <v>20108.160000000003</v>
      </c>
      <c r="M46" s="21">
        <f t="shared" si="17"/>
        <v>17428.5</v>
      </c>
      <c r="O46" s="21">
        <f>O42-O40</f>
        <v>19971.247146464648</v>
      </c>
    </row>
    <row r="47" spans="1:18" ht="5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O47" s="2"/>
    </row>
    <row r="48" spans="1:18" ht="15.75" customHeight="1" x14ac:dyDescent="0.2">
      <c r="A48" s="20" t="s">
        <v>52</v>
      </c>
      <c r="B48" s="21">
        <f t="shared" ref="B48:M48" si="18">B46/2</f>
        <v>10181.68</v>
      </c>
      <c r="C48" s="21">
        <f t="shared" si="18"/>
        <v>7300.6983333333337</v>
      </c>
      <c r="D48" s="21">
        <f t="shared" si="18"/>
        <v>5607.1799999999985</v>
      </c>
      <c r="E48" s="21">
        <f t="shared" si="18"/>
        <v>8777.3550000000014</v>
      </c>
      <c r="F48" s="21">
        <f t="shared" si="18"/>
        <v>13033.079999999996</v>
      </c>
      <c r="G48" s="21">
        <f t="shared" si="18"/>
        <v>9027.7599999999984</v>
      </c>
      <c r="H48" s="21">
        <f t="shared" si="18"/>
        <v>7789.73</v>
      </c>
      <c r="I48" s="21">
        <f t="shared" si="18"/>
        <v>7341.58</v>
      </c>
      <c r="J48" s="21">
        <f t="shared" si="18"/>
        <v>9334.1549999999988</v>
      </c>
      <c r="K48" s="21">
        <f t="shared" si="18"/>
        <v>7173.4150000000009</v>
      </c>
      <c r="L48" s="21">
        <f t="shared" si="18"/>
        <v>10054.080000000002</v>
      </c>
      <c r="M48" s="21">
        <f t="shared" si="18"/>
        <v>8714.25</v>
      </c>
      <c r="O48" s="21">
        <f>O46/2</f>
        <v>9985.6235732323239</v>
      </c>
    </row>
    <row r="49" spans="1:32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O49" s="2"/>
    </row>
    <row r="50" spans="1:32" ht="15.75" customHeight="1" x14ac:dyDescent="0.2">
      <c r="A50" s="2"/>
      <c r="B50" s="2"/>
      <c r="C50" s="2"/>
      <c r="D50" s="4"/>
      <c r="E50" s="2"/>
      <c r="F50" s="2"/>
      <c r="G50" s="22"/>
      <c r="H50" s="2"/>
      <c r="I50" s="2"/>
      <c r="J50" s="2"/>
      <c r="K50" s="2"/>
      <c r="L50" s="4">
        <f>L42+1300</f>
        <v>29324.826666666671</v>
      </c>
      <c r="M50" s="2"/>
      <c r="O50" s="2"/>
    </row>
    <row r="51" spans="1:32" ht="15.75" customHeight="1" x14ac:dyDescent="0.2">
      <c r="A51" s="2"/>
      <c r="B51" s="2"/>
      <c r="C51" s="2"/>
      <c r="D51" s="2"/>
      <c r="E51" s="22"/>
      <c r="F51" s="2"/>
      <c r="G51" s="22"/>
      <c r="H51" s="2"/>
      <c r="I51" s="2"/>
      <c r="J51" s="4">
        <f>'Cartão de Crédito'!L34</f>
        <v>14995.039999999999</v>
      </c>
      <c r="K51" s="4">
        <f>'Cartão de Crédito'!M34</f>
        <v>12663.779999999999</v>
      </c>
      <c r="L51" s="2">
        <f>L50/2</f>
        <v>14662.413333333336</v>
      </c>
      <c r="M51" s="2"/>
      <c r="O51" s="2"/>
    </row>
    <row r="52" spans="1:32" ht="15.75" customHeight="1" x14ac:dyDescent="0.2">
      <c r="A52" s="2"/>
      <c r="B52" s="2"/>
      <c r="C52" s="2"/>
      <c r="D52" s="2"/>
      <c r="E52" s="2"/>
      <c r="F52" s="2"/>
      <c r="G52" s="22"/>
      <c r="H52" s="2"/>
      <c r="I52" s="2"/>
      <c r="J52" s="4">
        <f>J51+SUM(K4:K5,K7,K10:K11)+500+560</f>
        <v>17446.939999999999</v>
      </c>
      <c r="K52" s="4">
        <f>K51+SUM(L4:L5,L7,L9:L11,L16)-L10-250-L7</f>
        <v>14748.939999999999</v>
      </c>
      <c r="L52" s="2"/>
      <c r="M52" s="2"/>
      <c r="O52" s="2"/>
      <c r="U52" s="4"/>
      <c r="V52" s="4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.75" customHeight="1" x14ac:dyDescent="0.2">
      <c r="A53" s="2"/>
      <c r="B53" s="2"/>
      <c r="C53" s="2"/>
      <c r="D53" s="2"/>
      <c r="E53" s="2"/>
      <c r="F53" s="2"/>
      <c r="G53" s="2"/>
      <c r="H53" s="22"/>
      <c r="I53" s="2"/>
      <c r="J53" s="4">
        <f t="shared" ref="J53:K53" si="19">J52+J40</f>
        <v>25363.606666666667</v>
      </c>
      <c r="K53" s="4">
        <f t="shared" si="19"/>
        <v>22665.606666666667</v>
      </c>
      <c r="L53" s="2"/>
      <c r="M53" s="2"/>
      <c r="O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.75" customHeight="1" x14ac:dyDescent="0.2">
      <c r="A54" s="2"/>
      <c r="B54" s="2"/>
      <c r="C54" s="2"/>
      <c r="D54" s="2"/>
      <c r="E54" s="2"/>
      <c r="F54" s="22"/>
      <c r="G54" s="22"/>
      <c r="H54" s="2"/>
      <c r="I54" s="2"/>
      <c r="J54" s="23">
        <f t="shared" ref="J54:K54" si="20">J53/2</f>
        <v>12681.803333333333</v>
      </c>
      <c r="K54" s="23">
        <f t="shared" si="20"/>
        <v>11332.803333333333</v>
      </c>
      <c r="L54" s="2"/>
      <c r="M54" s="2"/>
      <c r="O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.75" customHeight="1" x14ac:dyDescent="0.2">
      <c r="A55" s="2"/>
      <c r="B55" s="2"/>
      <c r="C55" s="2"/>
      <c r="D55" s="2"/>
      <c r="E55" s="2"/>
      <c r="F55" s="22"/>
      <c r="G55" s="2"/>
      <c r="H55" s="22"/>
      <c r="I55" s="2"/>
      <c r="J55" s="4"/>
      <c r="K55" s="2"/>
      <c r="L55" s="2"/>
      <c r="M55" s="2"/>
      <c r="O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.75" customHeight="1" x14ac:dyDescent="0.2">
      <c r="A56" s="2"/>
      <c r="B56" s="2"/>
      <c r="C56" s="2"/>
      <c r="D56" s="4"/>
      <c r="E56" s="2"/>
      <c r="F56" s="2"/>
      <c r="G56" s="2"/>
      <c r="H56" s="22"/>
      <c r="I56" s="2"/>
      <c r="J56" s="4"/>
      <c r="K56" s="2"/>
      <c r="L56" s="2"/>
      <c r="M56" s="2"/>
      <c r="O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.75" customHeight="1" x14ac:dyDescent="0.2">
      <c r="A57" s="2"/>
      <c r="B57" s="2"/>
      <c r="C57" s="2"/>
      <c r="D57" s="2"/>
      <c r="E57" s="2"/>
      <c r="F57" s="2"/>
      <c r="G57" s="2"/>
      <c r="H57" s="22"/>
      <c r="I57" s="2"/>
      <c r="J57" s="2"/>
      <c r="K57" s="2"/>
      <c r="L57" s="2"/>
      <c r="M57" s="2"/>
      <c r="O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.75" customHeight="1" x14ac:dyDescent="0.2">
      <c r="A58" s="2"/>
      <c r="B58" s="2"/>
      <c r="C58" s="2"/>
      <c r="D58" s="2"/>
      <c r="E58" s="2"/>
      <c r="F58" s="2"/>
      <c r="G58" s="2"/>
      <c r="H58" s="22"/>
      <c r="I58" s="2"/>
      <c r="J58" s="2"/>
      <c r="K58" s="2"/>
      <c r="L58" s="2"/>
      <c r="M58" s="2"/>
      <c r="O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O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O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O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O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O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O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O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O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O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O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O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O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O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O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.75" customHeight="1" x14ac:dyDescent="0.2">
      <c r="A73" s="2"/>
      <c r="B73" s="2"/>
      <c r="D73" s="2"/>
      <c r="E73" s="2"/>
      <c r="F73" s="2"/>
      <c r="G73" s="2"/>
      <c r="H73" s="2"/>
      <c r="I73" s="2"/>
      <c r="J73" s="2"/>
      <c r="K73" s="2"/>
      <c r="L73" s="2"/>
      <c r="M73" s="2"/>
      <c r="O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O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O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O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O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O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O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O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O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O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O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O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O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O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O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O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O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O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O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O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O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O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O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O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O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O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O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O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O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O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O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O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O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O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O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O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O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O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O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O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O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O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O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O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O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O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O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O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O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O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O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O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O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O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O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O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O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O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O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O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O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O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O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O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O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O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O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O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O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O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O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O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O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O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O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O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O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O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O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O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O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O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O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O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O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O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O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O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O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O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O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O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O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O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O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O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O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O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O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O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O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O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O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O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O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O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O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O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O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O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O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O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O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O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O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O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O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O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O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O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O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O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O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O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O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O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O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O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O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O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O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O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O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O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O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O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O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O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O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O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O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O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O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O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O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O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O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O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O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O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O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O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O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O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O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O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O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O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O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O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O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O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O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O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O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O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O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O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O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O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O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O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O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O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O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O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O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O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O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O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O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O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O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511811024" right="0.511811024" top="0.78740157499999996" bottom="0.78740157499999996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showGridLines="0" workbookViewId="0"/>
  </sheetViews>
  <sheetFormatPr baseColWidth="10" defaultColWidth="14.5" defaultRowHeight="15" customHeight="1" x14ac:dyDescent="0.2"/>
  <cols>
    <col min="1" max="1" width="28" customWidth="1"/>
    <col min="2" max="26" width="8.6640625" customWidth="1"/>
  </cols>
  <sheetData>
    <row r="1" spans="1:13" ht="24" x14ac:dyDescent="0.3">
      <c r="A1" s="1" t="s">
        <v>53</v>
      </c>
    </row>
    <row r="3" spans="1:13" x14ac:dyDescent="0.2">
      <c r="B3" s="6">
        <v>45681</v>
      </c>
      <c r="C3" s="6">
        <v>45712</v>
      </c>
      <c r="D3" s="6">
        <v>45740</v>
      </c>
      <c r="E3" s="6">
        <v>45771</v>
      </c>
      <c r="F3" s="6">
        <v>45801</v>
      </c>
      <c r="G3" s="6">
        <v>45832</v>
      </c>
      <c r="H3" s="6">
        <v>45862</v>
      </c>
      <c r="I3" s="6">
        <v>45893</v>
      </c>
      <c r="J3" s="6">
        <v>45924</v>
      </c>
      <c r="K3" s="6">
        <v>45954</v>
      </c>
      <c r="L3" s="6">
        <v>45985</v>
      </c>
      <c r="M3" s="6">
        <v>46015</v>
      </c>
    </row>
    <row r="4" spans="1:13" x14ac:dyDescent="0.2">
      <c r="A4" s="10" t="s">
        <v>14</v>
      </c>
      <c r="B4" s="24">
        <f>'2025'!B14/'2025'!B$42</f>
        <v>5.9340467382869043E-2</v>
      </c>
      <c r="C4" s="24">
        <f>'2025'!C14/'2025'!C$42</f>
        <v>0.12198029463457409</v>
      </c>
      <c r="D4" s="24">
        <f>'2025'!D14/'2025'!D$42</f>
        <v>0.19533766091661225</v>
      </c>
      <c r="E4" s="24">
        <f>'2025'!E14/'2025'!E$42</f>
        <v>0.14664539136937108</v>
      </c>
      <c r="F4" s="24">
        <f>'2025'!F14/'2025'!F$42</f>
        <v>0.20165185395603744</v>
      </c>
      <c r="G4" s="24">
        <f>'2025'!G14/'2025'!G$42</f>
        <v>0.23158889458158832</v>
      </c>
      <c r="H4" s="24">
        <f>'2025'!H14/'2025'!H$42</f>
        <v>0.18985597342427221</v>
      </c>
      <c r="I4" s="24">
        <f>'2025'!I14/'2025'!I$42</f>
        <v>0.17234158728061041</v>
      </c>
      <c r="J4" s="24">
        <f>'2025'!J14/'2025'!J$42</f>
        <v>0.12420962566201238</v>
      </c>
      <c r="K4" s="24">
        <f>'2025'!K14/'2025'!K$42</f>
        <v>0.17034341266249131</v>
      </c>
      <c r="L4" s="24">
        <f>'2025'!L14/'2025'!L$42</f>
        <v>0.18389658788255364</v>
      </c>
      <c r="M4" s="24">
        <f>'2025'!M14/'2025'!M$42</f>
        <v>0.14699015591401382</v>
      </c>
    </row>
    <row r="5" spans="1:13" x14ac:dyDescent="0.2">
      <c r="A5" s="10" t="s">
        <v>19</v>
      </c>
      <c r="B5" s="24">
        <f>'2025'!B19/'2025'!B$42</f>
        <v>1.3908402726635806E-2</v>
      </c>
      <c r="C5" s="24">
        <f>'2025'!C19/'2025'!C$42</f>
        <v>4.3555699505833753E-2</v>
      </c>
      <c r="D5" s="24">
        <f>'2025'!D19/'2025'!D$42</f>
        <v>0.11373043579469859</v>
      </c>
      <c r="E5" s="24">
        <f>'2025'!E19/'2025'!E$42</f>
        <v>8.6232480825208624E-2</v>
      </c>
      <c r="F5" s="24">
        <f>'2025'!F19/'2025'!F$42</f>
        <v>5.1888856018255505E-2</v>
      </c>
      <c r="G5" s="24">
        <f>'2025'!G19/'2025'!G$42</f>
        <v>7.5982050542272403E-2</v>
      </c>
      <c r="H5" s="24">
        <f>'2025'!H19/'2025'!H$42</f>
        <v>7.6634758807054434E-2</v>
      </c>
      <c r="I5" s="24">
        <f>'2025'!I19/'2025'!I$42</f>
        <v>0.13883292320236085</v>
      </c>
      <c r="J5" s="24">
        <f>'2025'!J19/'2025'!J$42</f>
        <v>5.1468918598511715E-2</v>
      </c>
      <c r="K5" s="24">
        <f>'2025'!K19/'2025'!K$42</f>
        <v>8.2720159711360083E-2</v>
      </c>
      <c r="L5" s="24">
        <f>'2025'!L19/'2025'!L$42</f>
        <v>6.7197204193234369E-2</v>
      </c>
      <c r="M5" s="24">
        <f>'2025'!M19/'2025'!M$42</f>
        <v>6.5939988557976212E-2</v>
      </c>
    </row>
    <row r="6" spans="1:13" x14ac:dyDescent="0.2">
      <c r="A6" s="10" t="s">
        <v>29</v>
      </c>
      <c r="B6" s="24">
        <f>'2025'!B26/'2025'!B$42</f>
        <v>0.33689041783081769</v>
      </c>
      <c r="C6" s="24">
        <f>'2025'!C26/'2025'!C$42</f>
        <v>0.1562647705493915</v>
      </c>
      <c r="D6" s="24">
        <f>'2025'!D26/'2025'!D$42</f>
        <v>4.9419198272683755E-2</v>
      </c>
      <c r="E6" s="24">
        <f>'2025'!E26/'2025'!E$42</f>
        <v>0.15547216202029648</v>
      </c>
      <c r="F6" s="24">
        <f>'2025'!F26/'2025'!F$42</f>
        <v>6.7286044872861286E-2</v>
      </c>
      <c r="G6" s="24">
        <f>'2025'!G26/'2025'!G$42</f>
        <v>9.2612533202184488E-2</v>
      </c>
      <c r="H6" s="24">
        <f>'2025'!H26/'2025'!H$42</f>
        <v>7.4023690145808424E-2</v>
      </c>
      <c r="I6" s="24">
        <f>'2025'!I26/'2025'!I$42</f>
        <v>5.8686733290579815E-2</v>
      </c>
      <c r="J6" s="24">
        <f>'2025'!J26/'2025'!J$42</f>
        <v>0.20266559070392262</v>
      </c>
      <c r="K6" s="24">
        <f>'2025'!K26/'2025'!K$42</f>
        <v>8.3173817110789264E-2</v>
      </c>
      <c r="L6" s="24">
        <f>'2025'!L26/'2025'!L$42</f>
        <v>5.6363595707044502E-2</v>
      </c>
      <c r="M6" s="24">
        <f>'2025'!M26/'2025'!M$42</f>
        <v>8.2904958867897213E-2</v>
      </c>
    </row>
    <row r="7" spans="1:13" x14ac:dyDescent="0.2">
      <c r="A7" s="10" t="s">
        <v>39</v>
      </c>
      <c r="B7" s="24">
        <f>'2025'!B31/'2025'!B$42</f>
        <v>0.13438035419108513</v>
      </c>
      <c r="C7" s="24">
        <f>'2025'!C31/'2025'!C$42</f>
        <v>0.14386228300568771</v>
      </c>
      <c r="D7" s="24">
        <f>'2025'!D31/'2025'!D$42</f>
        <v>0.18593199737668722</v>
      </c>
      <c r="E7" s="24">
        <f>'2025'!E31/'2025'!E$42</f>
        <v>0.10283621628617638</v>
      </c>
      <c r="F7" s="24">
        <f>'2025'!F31/'2025'!F$42</f>
        <v>0.19039381460125743</v>
      </c>
      <c r="G7" s="24">
        <f>'2025'!G31/'2025'!G$42</f>
        <v>0.10321849424563918</v>
      </c>
      <c r="H7" s="24">
        <f>'2025'!H31/'2025'!H$42</f>
        <v>0.15213103209351667</v>
      </c>
      <c r="I7" s="24">
        <f>'2025'!I31/'2025'!I$42</f>
        <v>0.1420413548894475</v>
      </c>
      <c r="J7" s="24">
        <f>'2025'!J31/'2025'!J$42</f>
        <v>0.18230672386020527</v>
      </c>
      <c r="K7" s="24">
        <f>'2025'!K31/'2025'!K$42</f>
        <v>0.10369889485763614</v>
      </c>
      <c r="L7" s="24">
        <f>'2025'!L31/'2025'!L$42</f>
        <v>0.18184412202133154</v>
      </c>
      <c r="M7" s="24">
        <f>'2025'!M31/'2025'!M$42</f>
        <v>0.10338302503435894</v>
      </c>
    </row>
    <row r="8" spans="1:13" x14ac:dyDescent="0.2">
      <c r="A8" s="10" t="s">
        <v>42</v>
      </c>
      <c r="B8" s="24">
        <f>'2025'!B34/'2025'!B$42</f>
        <v>5.7485801522110767E-3</v>
      </c>
      <c r="C8" s="24">
        <f>'2025'!C34/'2025'!C$42</f>
        <v>1.0482251359982261E-2</v>
      </c>
      <c r="D8" s="24">
        <f>'2025'!D34/'2025'!D$42</f>
        <v>4.3850234209420373E-3</v>
      </c>
      <c r="E8" s="24">
        <f>'2025'!E34/'2025'!E$42</f>
        <v>2.0631786293974684E-2</v>
      </c>
      <c r="F8" s="24">
        <f>'2025'!F34/'2025'!F$42</f>
        <v>0</v>
      </c>
      <c r="G8" s="24">
        <f>'2025'!G34/'2025'!G$42</f>
        <v>0</v>
      </c>
      <c r="H8" s="24">
        <f>'2025'!H34/'2025'!H$42</f>
        <v>1.096946759167965E-2</v>
      </c>
      <c r="I8" s="24">
        <f>'2025'!I34/'2025'!I$42</f>
        <v>1.2592574456323263E-2</v>
      </c>
      <c r="J8" s="24">
        <f>'2025'!J34/'2025'!J$42</f>
        <v>0</v>
      </c>
      <c r="K8" s="24">
        <f>'2025'!K34/'2025'!K$42</f>
        <v>3.6137180607598469E-2</v>
      </c>
      <c r="L8" s="24">
        <f>'2025'!L34/'2025'!L$42</f>
        <v>3.6789879640052481E-2</v>
      </c>
      <c r="M8" s="24">
        <f>'2025'!M34/'2025'!M$42</f>
        <v>2.4793681898586842E-2</v>
      </c>
    </row>
    <row r="9" spans="1:13" x14ac:dyDescent="0.2">
      <c r="A9" s="10" t="s">
        <v>45</v>
      </c>
      <c r="B9" s="24">
        <f>'2025'!B37/'2025'!B$42</f>
        <v>0.16272120441187701</v>
      </c>
      <c r="C9" s="24">
        <f>'2025'!C37/'2025'!C$42</f>
        <v>0.17228509438126635</v>
      </c>
      <c r="D9" s="24">
        <f>'2025'!D37/'2025'!D$42</f>
        <v>3.7382729764633645E-2</v>
      </c>
      <c r="E9" s="24">
        <f>'2025'!E37/'2025'!E$42</f>
        <v>0.1589815914936151</v>
      </c>
      <c r="F9" s="24">
        <f>'2025'!F37/'2025'!F$42</f>
        <v>0.25113155193682146</v>
      </c>
      <c r="G9" s="24">
        <f>'2025'!G37/'2025'!G$42</f>
        <v>0.1677544542520871</v>
      </c>
      <c r="H9" s="24">
        <f>'2025'!H37/'2025'!H$42</f>
        <v>0.13686894208662478</v>
      </c>
      <c r="I9" s="24">
        <f>'2025'!I37/'2025'!I$42</f>
        <v>9.1985218765689644E-2</v>
      </c>
      <c r="J9" s="24">
        <f>'2025'!J37/'2025'!J$42</f>
        <v>0.13044284535137829</v>
      </c>
      <c r="K9" s="24">
        <f>'2025'!K37/'2025'!K$42</f>
        <v>0.16833698929293675</v>
      </c>
      <c r="L9" s="24">
        <f>'2025'!L37/'2025'!L$42</f>
        <v>0.15492691718105184</v>
      </c>
      <c r="M9" s="24">
        <f>'2025'!M37/'2025'!M$42</f>
        <v>0.16760749912869646</v>
      </c>
    </row>
    <row r="10" spans="1:13" x14ac:dyDescent="0.2">
      <c r="A10" s="10" t="s">
        <v>47</v>
      </c>
      <c r="B10" s="24">
        <f>'2025'!B39/'2025'!B$42</f>
        <v>7.0721291163327515E-3</v>
      </c>
      <c r="C10" s="24">
        <f>'2025'!C39/'2025'!C$42</f>
        <v>0</v>
      </c>
      <c r="D10" s="24">
        <f>'2025'!D39/'2025'!D$42</f>
        <v>0</v>
      </c>
      <c r="E10" s="24">
        <f>'2025'!E39/'2025'!E$42</f>
        <v>1.83939802756375E-2</v>
      </c>
      <c r="F10" s="24">
        <f>'2025'!F39/'2025'!F$42</f>
        <v>4.6870733138934502E-3</v>
      </c>
      <c r="G10" s="24">
        <f>'2025'!G39/'2025'!G$42</f>
        <v>2.4030321667178327E-2</v>
      </c>
      <c r="H10" s="24">
        <f>'2025'!H39/'2025'!H$42</f>
        <v>2.2581168697592427E-2</v>
      </c>
      <c r="I10" s="24">
        <f>'2025'!I39/'2025'!I$42</f>
        <v>3.322193621544E-2</v>
      </c>
      <c r="J10" s="24">
        <f>'2025'!J39/'2025'!J$42</f>
        <v>1.1119061856113473E-2</v>
      </c>
      <c r="K10" s="24">
        <f>'2025'!K39/'2025'!K$42</f>
        <v>0</v>
      </c>
      <c r="L10" s="24">
        <f>'2025'!L39/'2025'!L$42</f>
        <v>2.3291847894866546E-2</v>
      </c>
      <c r="M10" s="24">
        <f>'2025'!M39/'2025'!M$42</f>
        <v>9.6026592841501654E-2</v>
      </c>
    </row>
    <row r="11" spans="1:13" x14ac:dyDescent="0.2">
      <c r="A11" s="10" t="s">
        <v>48</v>
      </c>
      <c r="B11" s="24">
        <f>'2025'!B40/'2025'!B$42</f>
        <v>0.27993844418817143</v>
      </c>
      <c r="C11" s="24">
        <f>'2025'!C40/'2025'!C$42</f>
        <v>0.35156960656326425</v>
      </c>
      <c r="D11" s="24">
        <f>'2025'!D40/'2025'!D$42</f>
        <v>0.41381295445374255</v>
      </c>
      <c r="E11" s="24">
        <f>'2025'!E40/'2025'!E$42</f>
        <v>0.31080639143572003</v>
      </c>
      <c r="F11" s="24">
        <f>'2025'!F40/'2025'!F$42</f>
        <v>0.2329608053008736</v>
      </c>
      <c r="G11" s="24">
        <f>'2025'!G40/'2025'!G$42</f>
        <v>0.30481325150905025</v>
      </c>
      <c r="H11" s="24">
        <f>'2025'!H40/'2025'!H$42</f>
        <v>0.33693496715345139</v>
      </c>
      <c r="I11" s="24">
        <f>'2025'!I40/'2025'!I$42</f>
        <v>0.35029767189954847</v>
      </c>
      <c r="J11" s="24">
        <f>'2025'!J40/'2025'!J$42</f>
        <v>0.29778723396785628</v>
      </c>
      <c r="K11" s="24">
        <f>'2025'!K40/'2025'!K$42</f>
        <v>0.35558954575718787</v>
      </c>
      <c r="L11" s="24">
        <f>'2025'!L40/'2025'!L$42</f>
        <v>0.28248762287914236</v>
      </c>
      <c r="M11" s="24">
        <f>'2025'!M40/'2025'!M$42</f>
        <v>0.31235409775696876</v>
      </c>
    </row>
    <row r="12" spans="1:13" x14ac:dyDescent="0.2">
      <c r="A12" s="25" t="s">
        <v>54</v>
      </c>
      <c r="B12" s="25">
        <f t="shared" ref="B12:M12" si="0">SUM(B4:B11)</f>
        <v>0.99999999999999978</v>
      </c>
      <c r="C12" s="25">
        <f t="shared" si="0"/>
        <v>1</v>
      </c>
      <c r="D12" s="25">
        <f t="shared" si="0"/>
        <v>1</v>
      </c>
      <c r="E12" s="25">
        <f t="shared" si="0"/>
        <v>1</v>
      </c>
      <c r="F12" s="25">
        <f t="shared" si="0"/>
        <v>1</v>
      </c>
      <c r="G12" s="25">
        <f t="shared" si="0"/>
        <v>1</v>
      </c>
      <c r="H12" s="25">
        <f t="shared" si="0"/>
        <v>0.99999999999999989</v>
      </c>
      <c r="I12" s="25">
        <f t="shared" si="0"/>
        <v>1</v>
      </c>
      <c r="J12" s="25">
        <f t="shared" si="0"/>
        <v>1</v>
      </c>
      <c r="K12" s="25">
        <f t="shared" si="0"/>
        <v>1</v>
      </c>
      <c r="L12" s="25">
        <f t="shared" si="0"/>
        <v>0.98679777739927732</v>
      </c>
      <c r="M12" s="25">
        <f t="shared" si="0"/>
        <v>0.99999999999999989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4:B11">
    <cfRule type="colorScale" priority="1">
      <colorScale>
        <cfvo type="min"/>
        <cfvo type="max"/>
        <color rgb="FFFCFCFF"/>
        <color rgb="FFF8696B"/>
      </colorScale>
    </cfRule>
  </conditionalFormatting>
  <conditionalFormatting sqref="C4:C11">
    <cfRule type="colorScale" priority="2">
      <colorScale>
        <cfvo type="min"/>
        <cfvo type="max"/>
        <color rgb="FFFCFCFF"/>
        <color rgb="FFF8696B"/>
      </colorScale>
    </cfRule>
  </conditionalFormatting>
  <conditionalFormatting sqref="D4:M11">
    <cfRule type="colorScale" priority="3">
      <colorScale>
        <cfvo type="min"/>
        <cfvo type="max"/>
        <color rgb="FFFCFCFF"/>
        <color rgb="FFF8696B"/>
      </colorScale>
    </cfRule>
  </conditionalFormatting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3"/>
  <sheetViews>
    <sheetView showGridLines="0"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O28" sqref="O28"/>
    </sheetView>
  </sheetViews>
  <sheetFormatPr baseColWidth="10" defaultColWidth="14.5" defaultRowHeight="15" customHeight="1" x14ac:dyDescent="0.2"/>
  <cols>
    <col min="1" max="1" width="19.83203125" customWidth="1"/>
    <col min="2" max="2" width="15.83203125" customWidth="1"/>
    <col min="3" max="3" width="15.83203125" hidden="1" customWidth="1"/>
    <col min="4" max="9" width="15.83203125" customWidth="1"/>
    <col min="10" max="18" width="14.5" customWidth="1"/>
    <col min="19" max="26" width="8.6640625" customWidth="1"/>
  </cols>
  <sheetData>
    <row r="1" spans="1:20" ht="24" x14ac:dyDescent="0.3">
      <c r="A1" s="1" t="s">
        <v>55</v>
      </c>
    </row>
    <row r="2" spans="1:20" x14ac:dyDescent="0.2">
      <c r="G2" s="2" t="s">
        <v>56</v>
      </c>
      <c r="H2" s="2" t="s">
        <v>56</v>
      </c>
      <c r="I2" s="2" t="s">
        <v>56</v>
      </c>
    </row>
    <row r="3" spans="1:20" x14ac:dyDescent="0.2">
      <c r="A3" s="3" t="s">
        <v>57</v>
      </c>
      <c r="G3" s="2">
        <v>407.87</v>
      </c>
      <c r="H3" s="2">
        <v>528.30999999999995</v>
      </c>
      <c r="I3" s="2">
        <v>588.53</v>
      </c>
    </row>
    <row r="4" spans="1:20" x14ac:dyDescent="0.2">
      <c r="A4" s="2"/>
      <c r="B4" s="6">
        <v>45620</v>
      </c>
      <c r="C4" s="6">
        <v>45650</v>
      </c>
      <c r="D4" s="6">
        <v>45681</v>
      </c>
      <c r="E4" s="6">
        <v>45712</v>
      </c>
      <c r="F4" s="6">
        <v>45740</v>
      </c>
      <c r="G4" s="6">
        <v>45771</v>
      </c>
      <c r="H4" s="6">
        <v>45801</v>
      </c>
      <c r="I4" s="6">
        <v>45832</v>
      </c>
      <c r="J4" s="6">
        <v>45862</v>
      </c>
      <c r="K4" s="6">
        <v>45893</v>
      </c>
      <c r="L4" s="6">
        <v>45924</v>
      </c>
      <c r="M4" s="6">
        <v>45954</v>
      </c>
      <c r="N4" s="6">
        <v>45985</v>
      </c>
      <c r="O4" s="6">
        <v>46015</v>
      </c>
      <c r="P4" s="6">
        <v>46046</v>
      </c>
      <c r="Q4" s="6">
        <v>46077</v>
      </c>
      <c r="R4" s="6">
        <v>46105</v>
      </c>
    </row>
    <row r="5" spans="1:20" x14ac:dyDescent="0.2">
      <c r="A5" s="7" t="s">
        <v>6</v>
      </c>
      <c r="B5" s="9"/>
      <c r="C5" s="9"/>
      <c r="D5" s="9"/>
      <c r="E5" s="9"/>
      <c r="F5" s="9">
        <f>536.93+G3</f>
        <v>944.8</v>
      </c>
      <c r="G5" s="9"/>
      <c r="H5" s="9"/>
      <c r="I5" s="9"/>
      <c r="J5" s="9">
        <v>258.83999999999997</v>
      </c>
      <c r="K5" s="9">
        <v>278.83</v>
      </c>
      <c r="L5" s="9">
        <v>319.52999999999997</v>
      </c>
      <c r="M5" s="9"/>
      <c r="N5" s="9">
        <v>174.93</v>
      </c>
      <c r="O5" s="9">
        <v>131.29</v>
      </c>
      <c r="P5" s="9"/>
      <c r="Q5" s="9"/>
      <c r="R5" s="9"/>
    </row>
    <row r="6" spans="1:20" x14ac:dyDescent="0.2">
      <c r="A6" s="7" t="s">
        <v>8</v>
      </c>
      <c r="B6" s="9"/>
      <c r="C6" s="9"/>
      <c r="D6" s="9"/>
      <c r="E6" s="9">
        <v>274.89</v>
      </c>
      <c r="F6" s="9">
        <v>419.79</v>
      </c>
      <c r="G6" s="9">
        <v>388.12</v>
      </c>
      <c r="H6" s="9">
        <v>247.5</v>
      </c>
      <c r="I6" s="9">
        <v>315.68</v>
      </c>
      <c r="J6" s="9">
        <v>257.55</v>
      </c>
      <c r="K6" s="9">
        <f>270.19</f>
        <v>270.19</v>
      </c>
      <c r="L6" s="9"/>
      <c r="M6" s="9">
        <f>317.21+336.56</f>
        <v>653.77</v>
      </c>
      <c r="N6" s="9"/>
      <c r="O6" s="9">
        <v>284.3</v>
      </c>
      <c r="P6" s="9"/>
      <c r="Q6" s="9"/>
      <c r="R6" s="9"/>
    </row>
    <row r="7" spans="1:20" x14ac:dyDescent="0.2">
      <c r="A7" s="7" t="s">
        <v>12</v>
      </c>
      <c r="B7" s="9"/>
      <c r="C7" s="9"/>
      <c r="D7" s="9"/>
      <c r="E7" s="9"/>
      <c r="F7" s="9">
        <f>75.98</f>
        <v>75.98</v>
      </c>
      <c r="G7" s="9">
        <f t="shared" ref="G7:H7" si="0">F7</f>
        <v>75.98</v>
      </c>
      <c r="H7" s="9">
        <f t="shared" si="0"/>
        <v>75.98</v>
      </c>
      <c r="I7" s="9">
        <v>75.98</v>
      </c>
      <c r="J7" s="9">
        <v>75.98</v>
      </c>
      <c r="K7" s="9">
        <v>75.98</v>
      </c>
      <c r="L7" s="9">
        <v>75.98</v>
      </c>
      <c r="M7" s="9">
        <v>75.98</v>
      </c>
      <c r="N7" s="9">
        <v>75.98</v>
      </c>
      <c r="O7" s="9">
        <v>75.98</v>
      </c>
      <c r="P7" s="9"/>
      <c r="Q7" s="9"/>
      <c r="R7" s="9"/>
    </row>
    <row r="8" spans="1:20" x14ac:dyDescent="0.2">
      <c r="A8" s="7" t="s">
        <v>13</v>
      </c>
      <c r="B8" s="9">
        <f>112.93+62.38</f>
        <v>175.31</v>
      </c>
      <c r="C8" s="9">
        <v>88.64</v>
      </c>
      <c r="D8" s="9">
        <f>69.37+24.9+17.86+46.88</f>
        <v>159.01000000000002</v>
      </c>
      <c r="E8" s="9"/>
      <c r="F8" s="9">
        <v>188.14</v>
      </c>
      <c r="G8" s="9">
        <f>215.62+314.95+319.87+20-0.02-448+222.78+89.9+333.69</f>
        <v>1068.79</v>
      </c>
      <c r="H8" s="9">
        <f>215.62+314.95+222.78-629.9-0.04+209.98+90.59+567.76+297.74+387+332.74+187.63+220+193.89+215.26-206.06-222.78</f>
        <v>2397.16</v>
      </c>
      <c r="I8" s="9">
        <f>215.62+209.98+567.76-0.03+297.74-0.02+332.74-0.04</f>
        <v>1623.7500000000002</v>
      </c>
      <c r="J8" s="9">
        <f>209.98+567.76+297.74+332.74+156.43</f>
        <v>1564.65</v>
      </c>
      <c r="K8" s="9">
        <f>567.76</f>
        <v>567.76</v>
      </c>
      <c r="L8" s="9">
        <f>735.15+175.2</f>
        <v>910.34999999999991</v>
      </c>
      <c r="M8" s="9">
        <f>41.4+187.89+99.8+961.7-120</f>
        <v>1170.79</v>
      </c>
      <c r="N8" s="9">
        <f>961.7+164.95+1000+26.49+119.9+19+119.9+139.9</f>
        <v>2551.84</v>
      </c>
      <c r="O8" s="9">
        <f>961.7+164.95+1000+43.49+118.95</f>
        <v>2289.0899999999997</v>
      </c>
      <c r="P8" s="9">
        <f t="shared" ref="P8:R8" si="1">961.7+1000</f>
        <v>1961.7</v>
      </c>
      <c r="Q8" s="9">
        <f t="shared" si="1"/>
        <v>1961.7</v>
      </c>
      <c r="R8" s="9">
        <f t="shared" si="1"/>
        <v>1961.7</v>
      </c>
    </row>
    <row r="9" spans="1:20" x14ac:dyDescent="0.2">
      <c r="A9" s="7" t="s">
        <v>58</v>
      </c>
      <c r="B9" s="9"/>
      <c r="C9" s="9"/>
      <c r="D9" s="9"/>
      <c r="E9" s="9"/>
      <c r="F9" s="9"/>
      <c r="G9" s="9"/>
      <c r="H9" s="9"/>
      <c r="I9" s="9"/>
      <c r="J9" s="9">
        <v>682</v>
      </c>
      <c r="K9" s="9">
        <f>682+1141.52+197</f>
        <v>2020.52</v>
      </c>
      <c r="L9" s="9"/>
      <c r="M9" s="9">
        <v>879</v>
      </c>
      <c r="N9" s="9">
        <v>735.52</v>
      </c>
      <c r="O9" s="9">
        <v>426.25</v>
      </c>
      <c r="P9" s="9"/>
      <c r="Q9" s="9"/>
      <c r="R9" s="9"/>
    </row>
    <row r="10" spans="1:20" x14ac:dyDescent="0.2">
      <c r="A10" s="7" t="s">
        <v>59</v>
      </c>
      <c r="B10" s="9"/>
      <c r="C10" s="9"/>
      <c r="D10" s="9"/>
      <c r="E10" s="9"/>
      <c r="F10" s="9">
        <f>197.72+10.98+54.81+210</f>
        <v>473.51</v>
      </c>
      <c r="G10" s="9">
        <f>54.81+82.38+32.95</f>
        <v>170.14</v>
      </c>
      <c r="H10" s="9">
        <v>54.81</v>
      </c>
      <c r="I10" s="9">
        <v>54.81</v>
      </c>
      <c r="J10" s="9">
        <v>54.81</v>
      </c>
      <c r="K10" s="9">
        <v>54.81</v>
      </c>
      <c r="L10" s="9">
        <f>54.81+16.48</f>
        <v>71.290000000000006</v>
      </c>
      <c r="M10" s="9">
        <v>54.81</v>
      </c>
      <c r="N10" s="9">
        <f>11.55+57.64</f>
        <v>69.19</v>
      </c>
      <c r="O10" s="9">
        <v>57.64</v>
      </c>
      <c r="P10" s="9"/>
      <c r="Q10" s="9"/>
      <c r="R10" s="9"/>
    </row>
    <row r="11" spans="1:20" x14ac:dyDescent="0.2">
      <c r="A11" s="7" t="s">
        <v>18</v>
      </c>
      <c r="B11" s="9">
        <f>45.9+334.22+77.9</f>
        <v>458.02</v>
      </c>
      <c r="C11" s="9">
        <f>129.18+299.16+56.17+22.8+10.98</f>
        <v>518.29000000000008</v>
      </c>
      <c r="D11" s="9">
        <f>239.16+99.36</f>
        <v>338.52</v>
      </c>
      <c r="E11" s="9">
        <f>399.37+108.35+27.46+22.8</f>
        <v>557.98</v>
      </c>
      <c r="F11" s="9">
        <f>10.98+42.79+19.47+111.21+415.82</f>
        <v>600.27</v>
      </c>
      <c r="G11" s="9">
        <f>139.9+26.6+94.91+103.45+288.61+40.85</f>
        <v>694.32</v>
      </c>
      <c r="H11" s="9">
        <f>94.9+40.85+214.85+57+269.42</f>
        <v>677.02</v>
      </c>
      <c r="I11" s="9">
        <f>25.65+9.99+303.92+107.05</f>
        <v>446.61</v>
      </c>
      <c r="J11" s="9">
        <f>9.99+16.9+322.92+154</f>
        <v>503.81</v>
      </c>
      <c r="K11" s="9">
        <f>60.42+324.81+9.99+107.05</f>
        <v>502.27000000000004</v>
      </c>
      <c r="L11" s="9">
        <f>9.99+159.07+153.91+325.82+88.22</f>
        <v>737.01</v>
      </c>
      <c r="M11" s="9">
        <f>9.99+27.46+265.57+324.81</f>
        <v>627.82999999999993</v>
      </c>
      <c r="N11" s="9">
        <f>19.95+120.27+173.8+11.55+322.92+9.99</f>
        <v>658.48</v>
      </c>
      <c r="O11" s="9">
        <f>11.55+34.65+9.99+431.18</f>
        <v>487.37</v>
      </c>
      <c r="P11" s="9">
        <v>9.99</v>
      </c>
      <c r="Q11" s="9">
        <v>9.99</v>
      </c>
      <c r="R11" s="9">
        <v>9.99</v>
      </c>
      <c r="S11" s="41">
        <v>9.99</v>
      </c>
      <c r="T11" s="41">
        <v>9.99</v>
      </c>
    </row>
    <row r="12" spans="1:20" x14ac:dyDescent="0.2">
      <c r="A12" s="7" t="s">
        <v>21</v>
      </c>
      <c r="B12" s="9"/>
      <c r="C12" s="9"/>
      <c r="D12" s="9"/>
      <c r="E12" s="9"/>
      <c r="F12" s="9"/>
      <c r="G12" s="9">
        <f>1205.59+60.85</f>
        <v>1266.4399999999998</v>
      </c>
      <c r="H12" s="9">
        <v>60.85</v>
      </c>
      <c r="I12" s="9">
        <v>60.85</v>
      </c>
      <c r="J12" s="9">
        <v>60.85</v>
      </c>
      <c r="K12" s="9">
        <v>60.85</v>
      </c>
      <c r="L12" s="9">
        <f>60.85+2563.7</f>
        <v>2624.5499999999997</v>
      </c>
      <c r="M12" s="9">
        <v>60.85</v>
      </c>
      <c r="N12" s="9">
        <v>60.85</v>
      </c>
      <c r="O12" s="9">
        <v>60.85</v>
      </c>
      <c r="P12" s="9"/>
      <c r="Q12" s="9"/>
      <c r="R12" s="9"/>
    </row>
    <row r="13" spans="1:20" x14ac:dyDescent="0.2">
      <c r="A13" s="7" t="s">
        <v>22</v>
      </c>
      <c r="B13" s="9">
        <v>26</v>
      </c>
      <c r="C13" s="9"/>
      <c r="D13" s="9">
        <f>50*3</f>
        <v>150</v>
      </c>
      <c r="E13" s="9">
        <f>100+50+50</f>
        <v>200</v>
      </c>
      <c r="F13" s="9">
        <v>50</v>
      </c>
      <c r="G13" s="9">
        <f>50+50+13+12.8+11.4+50</f>
        <v>187.2</v>
      </c>
      <c r="H13" s="9">
        <f>100+50+50</f>
        <v>200</v>
      </c>
      <c r="I13" s="9">
        <f>50+50+50+50+50+50</f>
        <v>300</v>
      </c>
      <c r="J13" s="9">
        <f>50+50+50</f>
        <v>150</v>
      </c>
      <c r="K13" s="9">
        <f>50*3</f>
        <v>150</v>
      </c>
      <c r="L13" s="9">
        <f>13.6*2+12.1+50+13.7+13.6</f>
        <v>116.6</v>
      </c>
      <c r="M13" s="9">
        <f>50*3+100</f>
        <v>250</v>
      </c>
      <c r="N13" s="9">
        <f>50+50+50</f>
        <v>150</v>
      </c>
      <c r="O13" s="9">
        <f>50+50+50+50</f>
        <v>200</v>
      </c>
      <c r="P13" s="9"/>
      <c r="Q13" s="9"/>
      <c r="R13" s="9"/>
    </row>
    <row r="14" spans="1:20" x14ac:dyDescent="0.2">
      <c r="A14" s="7" t="s">
        <v>23</v>
      </c>
      <c r="B14" s="9">
        <f>151.44+131.9+170.23+144.02+174.2</f>
        <v>771.79</v>
      </c>
      <c r="C14" s="9">
        <f>253.49+175.01+171</f>
        <v>599.5</v>
      </c>
      <c r="D14" s="9">
        <f>297.08+249.66</f>
        <v>546.74</v>
      </c>
      <c r="E14" s="9">
        <f>264.81+211.91+195.88+155.68</f>
        <v>828.28</v>
      </c>
      <c r="F14" s="9">
        <f>241.9+174.43+196.41</f>
        <v>612.74</v>
      </c>
      <c r="G14" s="9">
        <f>275.03+101.8+283.39+257.63+240.9</f>
        <v>1158.75</v>
      </c>
      <c r="H14" s="9">
        <f>249.69+253.15+254.01</f>
        <v>756.85</v>
      </c>
      <c r="I14" s="9">
        <f>247.83+260.62+254.39+217.52</f>
        <v>980.36</v>
      </c>
      <c r="J14" s="9">
        <f>228.99+200.04+222.14</f>
        <v>651.16999999999996</v>
      </c>
      <c r="K14" s="9">
        <f>224.21+10+238.07</f>
        <v>472.28</v>
      </c>
      <c r="L14" s="9">
        <f>116.28+115.63+219.92+201.89+275.58+239.91</f>
        <v>1169.21</v>
      </c>
      <c r="M14" s="9">
        <f>237.71+269.12+262.4+253.08</f>
        <v>1022.3100000000001</v>
      </c>
      <c r="N14" s="9">
        <f>245.89+187.95+220.25</f>
        <v>654.08999999999992</v>
      </c>
      <c r="O14" s="9">
        <f>256.74+240.2+224.83+250</f>
        <v>971.77</v>
      </c>
      <c r="P14" s="9"/>
      <c r="Q14" s="9"/>
      <c r="R14" s="9"/>
    </row>
    <row r="15" spans="1:20" x14ac:dyDescent="0.2">
      <c r="A15" s="7" t="s">
        <v>25</v>
      </c>
      <c r="B15" s="9">
        <v>928.22</v>
      </c>
      <c r="C15" s="9">
        <f>2433.02+70+928.22</f>
        <v>3431.24</v>
      </c>
      <c r="D15" s="9">
        <f>152.7+30+2338+120+928.22</f>
        <v>3568.92</v>
      </c>
      <c r="E15" s="9">
        <f>2338+152.5</f>
        <v>2490.5</v>
      </c>
      <c r="F15" s="9">
        <f>152.7</f>
        <v>152.69999999999999</v>
      </c>
      <c r="G15" s="9">
        <f>F15+70+375</f>
        <v>597.70000000000005</v>
      </c>
      <c r="H15" s="9">
        <f>F15+375+422.25</f>
        <v>949.95</v>
      </c>
      <c r="I15" s="9">
        <f>F15+375+422.25+80</f>
        <v>1029.95</v>
      </c>
      <c r="J15" s="9">
        <f>375+422.25+80</f>
        <v>877.25</v>
      </c>
      <c r="K15" s="9">
        <f>422.25</f>
        <v>422.25</v>
      </c>
      <c r="L15" s="9">
        <f>80+397.5</f>
        <v>477.5</v>
      </c>
      <c r="M15" s="40">
        <f>397.5+80</f>
        <v>477.5</v>
      </c>
      <c r="N15" s="40">
        <v>397.5</v>
      </c>
      <c r="O15" s="40">
        <v>397.5</v>
      </c>
      <c r="P15" s="40"/>
      <c r="Q15" s="40"/>
      <c r="R15" s="40"/>
    </row>
    <row r="16" spans="1:20" x14ac:dyDescent="0.2">
      <c r="A16" s="7" t="s">
        <v>27</v>
      </c>
      <c r="B16" s="9"/>
      <c r="C16" s="9">
        <f>17.33+75.24+68.68+37.16+36.56+39.36+20.22+41.98+33.05+29.53</f>
        <v>399.11</v>
      </c>
      <c r="D16" s="9"/>
      <c r="E16" s="9"/>
      <c r="F16" s="9"/>
      <c r="G16" s="9"/>
      <c r="H16" s="9">
        <f>87.28+21.25+22.63+105.61</f>
        <v>236.76999999999998</v>
      </c>
      <c r="I16" s="9">
        <f>34.19</f>
        <v>34.19</v>
      </c>
      <c r="J16" s="9"/>
      <c r="K16" s="9">
        <f>40.75+36.12+22.24+18.66+30.52+24.68+47.96</f>
        <v>220.93</v>
      </c>
      <c r="L16" s="9"/>
      <c r="M16" s="9">
        <f>41.08</f>
        <v>41.08</v>
      </c>
      <c r="N16" s="9">
        <f>65.52+15.73+11.65+21.8+30.55+12.31+16.48+8.99+12.98+19.93+6.3+36.96+57.94</f>
        <v>317.14</v>
      </c>
      <c r="O16" s="9">
        <f>128.43+23.98+33.95+33.47+28.99+33.92+40.98+147.4</f>
        <v>471.12</v>
      </c>
      <c r="P16" s="9"/>
      <c r="Q16" s="9"/>
      <c r="R16" s="9"/>
    </row>
    <row r="17" spans="1:18" x14ac:dyDescent="0.2">
      <c r="A17" s="7" t="s">
        <v>31</v>
      </c>
      <c r="B17" s="9">
        <f>438.72+23.73+22.24+21.86+19.57+144.23+36.26+58.87+27.56</f>
        <v>793.04000000000008</v>
      </c>
      <c r="C17" s="9">
        <f>21.92+1.1+41.35+132.98+4.05+35+43.16+25.64</f>
        <v>305.2</v>
      </c>
      <c r="D17" s="9">
        <f>101.02+40.76+13+12+12+38+4+143.38+38.48+32.29+534.55+5+41.8+14.3+18+6.6+86.48+23.84+28.36+93.57+44.41+20.08+300.89+18.59+7.98+92.53+48.7</f>
        <v>1820.6099999999994</v>
      </c>
      <c r="E17" s="9">
        <f>38+6+38+8+16+8+10+7+40.97+2+27+91.2+10+42.5+38+187.74+86.77+47.95+409.88</f>
        <v>1115.0100000000002</v>
      </c>
      <c r="F17" s="9">
        <f>6+25+2.8+38+159.53+27.98+16.99+8+48+290.56+10+22.04+155.92</f>
        <v>810.81999999999994</v>
      </c>
      <c r="G17" s="9">
        <f>50+35+30+159.47+23.85+40+42.23+4.5</f>
        <v>385.05000000000007</v>
      </c>
      <c r="H17" s="9">
        <f>51.16+21.65+198.46+291.08+40+502.17+208.59</f>
        <v>1313.11</v>
      </c>
      <c r="I17" s="9">
        <f>20+1.59+188.16+40+38.69+79.18+40</f>
        <v>407.62</v>
      </c>
      <c r="J17" s="9">
        <f>169.6+80.82+60+15.9+29.04+28.48+33.92</f>
        <v>417.76</v>
      </c>
      <c r="K17" s="9">
        <f>43.04+40+56.01+23.95</f>
        <v>162.99999999999997</v>
      </c>
      <c r="L17" s="9">
        <f>95+474.25+40+218.22+30+24.9+48.8+263.15+85.74+75.46+51.3+60</f>
        <v>1466.82</v>
      </c>
      <c r="M17" s="9">
        <f>16+67.6+50.02+30.31+40+10+14.7+580.52-144.53-72.25</f>
        <v>592.37</v>
      </c>
      <c r="N17" s="9">
        <f>40+7+15+71.88+260.41</f>
        <v>394.29</v>
      </c>
      <c r="O17" s="9">
        <f>157.25+348.36+22.52+34.73+41.68</f>
        <v>604.54</v>
      </c>
      <c r="P17" s="9"/>
      <c r="Q17" s="9"/>
      <c r="R17" s="9"/>
    </row>
    <row r="18" spans="1:18" x14ac:dyDescent="0.2">
      <c r="A18" s="7" t="s">
        <v>33</v>
      </c>
      <c r="B18" s="9">
        <f>221.65+304.4+104+53.7+81.7+110+235.77+232.68+53.7+53.6+82</f>
        <v>1533.2</v>
      </c>
      <c r="C18" s="9">
        <f>85.9+126.56+302.83+109.45+202.4+429.4+40+62.5+261.4+83.7+147+32.85+98.7+26.18+55.8</f>
        <v>2064.67</v>
      </c>
      <c r="D18" s="9">
        <f>91.08+457.81+26+187.04+81.7+57.2+18.9+49.4+10.5+118+52</f>
        <v>1149.6300000000001</v>
      </c>
      <c r="E18" s="9">
        <f>14.9+40.5+79.08+40.5+34.2+155.1+352.56+333.85+63.8+90+29</f>
        <v>1233.49</v>
      </c>
      <c r="F18" s="9">
        <f>54.1+40.5+45+15.05+397.3+18.9+40.5+136.73+122.75+211.7+25.99+192.78+113.55+2.84</f>
        <v>1417.6899999999998</v>
      </c>
      <c r="G18" s="9">
        <f>517+39.16+183.7+40.5+202.27+101.39+64.9+66+25.7+55.1+53.11+108+49.5+20.9+126.8+133.1+19.4</f>
        <v>1806.53</v>
      </c>
      <c r="H18" s="9">
        <f>45.93+47.3+101.57+59.3+47+194+418+40.5+25.2+828+71.75+210.18+55.25+27+358.4+90.2+189.73+116</f>
        <v>2925.31</v>
      </c>
      <c r="I18" s="9">
        <f>44.7+36.45+72.73+45+103.4+217.69+89.99+36.5+305+51.3+27.08+52+39.11+55.5+94.5+73.05</f>
        <v>1343.9999999999998</v>
      </c>
      <c r="J18" s="9">
        <f>87.73+44.5+368.94+48.1+160.7+173.6+514.15+63.9+37.2+219.89+64.11+47+51.3+37.5</f>
        <v>1918.62</v>
      </c>
      <c r="K18" s="9">
        <f>131+18+67+27.96+487.42+151.5+15.15+159.48+167+214.5+100.26+170+52.11+70.08+163.3+57+102.4+63.93+12+292+69</f>
        <v>2591.0899999999997</v>
      </c>
      <c r="L18" s="9">
        <f>204.43+106.3+29.2+819.9+45+60.7+99.5+149.16+102.7+99.5+82.72+111.7+99.82</f>
        <v>2010.63</v>
      </c>
      <c r="M18" s="9">
        <f>43.84+26.04+81.9+109+12+140+64.56+25+57.7+67.19+46.31+49</f>
        <v>722.54</v>
      </c>
      <c r="N18" s="9">
        <f>44.5+106.1+24.9+76+21.14+27.5+151+95.26+457.49+319.9+12+227.7+33.81+25.4+30+297.8+119.9+259.6+168.3+174.9+229.9+53+247.6+8+24.7+20+58+450+184.8+3+20+211.2+76.2+42+8</f>
        <v>4309.6000000000004</v>
      </c>
      <c r="O18" s="9">
        <f>162.91+16+123.2+154.34+269.5+178.03+84.3+101.06+100</f>
        <v>1189.3399999999999</v>
      </c>
      <c r="P18" s="9"/>
      <c r="Q18" s="9"/>
      <c r="R18" s="9"/>
    </row>
    <row r="19" spans="1:18" x14ac:dyDescent="0.2">
      <c r="A19" s="7" t="s">
        <v>35</v>
      </c>
      <c r="B19" s="9">
        <f>137.7+102.9+93.89+185.5+140.89</f>
        <v>660.88</v>
      </c>
      <c r="C19" s="9">
        <f>153+1.75+84.36+117.69+154.79+79.4+123.3+109+86.9+31.15+14+32.8</f>
        <v>988.13999999999987</v>
      </c>
      <c r="D19" s="9">
        <f>123.7+67.99+66.89+121.7+63.89+96.5</f>
        <v>540.66999999999996</v>
      </c>
      <c r="E19" s="9">
        <f>226+83.8+93.7+161.9+244.8+80.8</f>
        <v>891</v>
      </c>
      <c r="F19" s="9">
        <f>108.8+83.2+105+116</f>
        <v>413</v>
      </c>
      <c r="G19" s="9">
        <f>91.01+142.89+80+113.9</f>
        <v>427.79999999999995</v>
      </c>
      <c r="H19" s="9">
        <f>124.61+159+106.88</f>
        <v>390.49</v>
      </c>
      <c r="I19" s="9">
        <f>69.79+69.68+210.69+16.99+109.79+119.99+124.78+98.99+108.49</f>
        <v>929.19</v>
      </c>
      <c r="J19" s="9">
        <f>45.98+80+193.89+60.18+100.8+236.89+181.16+69.68+39.59+130.65+99.29</f>
        <v>1238.1099999999999</v>
      </c>
      <c r="K19" s="9">
        <f>130.66+155.78+146.99+22.59</f>
        <v>456.02</v>
      </c>
      <c r="L19" s="9">
        <f>115.28+150.78+201.66+106.79+104.79+73.08+129.59+111.22+149.16</f>
        <v>1142.3500000000001</v>
      </c>
      <c r="M19" s="9">
        <f>214.59+109.11+111.22+105.48+352+253.49-101.4-50.7</f>
        <v>993.78999999999974</v>
      </c>
      <c r="N19" s="9">
        <f>72.89+101.78+217.59</f>
        <v>392.26</v>
      </c>
      <c r="O19" s="9">
        <f>249.6+219.59+97.7+259.49</f>
        <v>826.38</v>
      </c>
      <c r="P19" s="9"/>
      <c r="Q19" s="9"/>
      <c r="R19" s="9"/>
    </row>
    <row r="20" spans="1:18" x14ac:dyDescent="0.2">
      <c r="A20" s="7" t="s">
        <v>40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>
        <v>580</v>
      </c>
      <c r="N20" s="9">
        <f>159+300+350</f>
        <v>809</v>
      </c>
      <c r="O20" s="9"/>
      <c r="P20" s="9"/>
      <c r="Q20" s="9"/>
      <c r="R20" s="9"/>
    </row>
    <row r="21" spans="1:18" x14ac:dyDescent="0.2">
      <c r="A21" s="7" t="s">
        <v>41</v>
      </c>
      <c r="B21" s="9">
        <f>3.99+148.84+29.98</f>
        <v>182.81</v>
      </c>
      <c r="C21" s="9">
        <f>6.72+30.48+11.12</f>
        <v>48.32</v>
      </c>
      <c r="D21" s="9">
        <v>162.57</v>
      </c>
      <c r="E21" s="9">
        <f>116.54+119.5</f>
        <v>236.04000000000002</v>
      </c>
      <c r="F21" s="9">
        <f>83.89</f>
        <v>83.89</v>
      </c>
      <c r="G21" s="9">
        <f>178.54+346.98</f>
        <v>525.52</v>
      </c>
      <c r="H21" s="9"/>
      <c r="I21" s="9"/>
      <c r="J21" s="9">
        <f>49.75+207.99</f>
        <v>257.74</v>
      </c>
      <c r="K21" s="9">
        <f>71.8+171.21+41.58</f>
        <v>284.58999999999997</v>
      </c>
      <c r="L21" s="9"/>
      <c r="M21" s="9">
        <f>6.98+217.56</f>
        <v>224.54</v>
      </c>
      <c r="N21" s="9">
        <f>22.2+59.47+27.96+112.4</f>
        <v>222.03</v>
      </c>
      <c r="O21" s="9">
        <f>112.4+206.89+57.44+251.67</f>
        <v>628.4</v>
      </c>
      <c r="P21" s="9"/>
      <c r="Q21" s="9"/>
      <c r="R21" s="9"/>
    </row>
    <row r="22" spans="1:18" x14ac:dyDescent="0.2">
      <c r="A22" s="7" t="s">
        <v>60</v>
      </c>
      <c r="B22" s="9">
        <f>2532.44+305.35+1289.46+1312.73+1128.4+847.8*2</f>
        <v>8263.98</v>
      </c>
      <c r="C22" s="9">
        <f>1128.4+486.1+320.08</f>
        <v>1934.58</v>
      </c>
      <c r="D22" s="9">
        <f>4834.48/2+486.12+1128.4</f>
        <v>4031.7599999999998</v>
      </c>
      <c r="E22" s="9">
        <f>(7761.27+262.31)/3</f>
        <v>2674.5266666666671</v>
      </c>
      <c r="F22" s="9">
        <v>496.77</v>
      </c>
      <c r="G22" s="9">
        <f>496.77-0.06+200.98+2914.6</f>
        <v>3612.29</v>
      </c>
      <c r="H22" s="9">
        <f>496.77+200.9+2914.6+504.17+2143.65+196.23+468.59+22.63+21.25+87.28+105.61+53.37+261.25+28.66</f>
        <v>7504.9599999999991</v>
      </c>
      <c r="I22" s="9">
        <f>496.77+200.98+2914.6+285.6</f>
        <v>3897.95</v>
      </c>
      <c r="J22" s="9">
        <f>200.98+3714.25-1392.84+599-299.5</f>
        <v>2821.8900000000003</v>
      </c>
      <c r="K22" s="9">
        <f>200.98+397.76+538.56+395.55+200</f>
        <v>1732.85</v>
      </c>
      <c r="L22" s="9">
        <f>397.76+395.55+1590.15</f>
        <v>2383.46</v>
      </c>
      <c r="M22" s="9">
        <f>397.76+395.55+739.97+149.9+67.28+487.46+427.9+159.32+185.06+737.57</f>
        <v>3747.7700000000004</v>
      </c>
      <c r="N22" s="9">
        <f>397.76+395.55+739.97+149.9+487.46+427.9+159.32+737.57+467.02+219.35</f>
        <v>4181.8</v>
      </c>
      <c r="O22" s="9">
        <f>739.97+427.9+737.57+467.02+1299.83+41</f>
        <v>3713.29</v>
      </c>
      <c r="P22" s="9">
        <f>427.9+737.57+467.02</f>
        <v>1632.49</v>
      </c>
      <c r="Q22" s="9"/>
      <c r="R22" s="9"/>
    </row>
    <row r="23" spans="1:18" ht="15.75" customHeight="1" x14ac:dyDescent="0.2">
      <c r="A23" s="7" t="s">
        <v>44</v>
      </c>
      <c r="B23" s="9"/>
      <c r="C23" s="9"/>
      <c r="D23" s="9"/>
      <c r="E23" s="9">
        <f>324+160*2+385+176</f>
        <v>1205</v>
      </c>
      <c r="F23" s="9">
        <f>51+31+25</f>
        <v>107</v>
      </c>
      <c r="G23" s="9">
        <f>14+63.54+9.65+350</f>
        <v>437.19</v>
      </c>
      <c r="H23" s="9">
        <f>637.2+66</f>
        <v>703.2</v>
      </c>
      <c r="I23" s="9">
        <f>40+179+15+50+155+9+11</f>
        <v>459</v>
      </c>
      <c r="J23" s="9">
        <f>244</f>
        <v>244</v>
      </c>
      <c r="K23" s="9">
        <f>244+42+60</f>
        <v>346</v>
      </c>
      <c r="L23" s="9">
        <f>494.36+590</f>
        <v>1084.3600000000001</v>
      </c>
      <c r="M23" s="9"/>
      <c r="N23" s="9">
        <f>100+60</f>
        <v>160</v>
      </c>
      <c r="O23" s="9">
        <f>324+15.25+24+171.5</f>
        <v>534.75</v>
      </c>
      <c r="P23" s="9"/>
      <c r="Q23" s="9"/>
      <c r="R23" s="9"/>
    </row>
    <row r="24" spans="1:18" ht="15.75" customHeight="1" x14ac:dyDescent="0.2">
      <c r="A24" s="7" t="s">
        <v>61</v>
      </c>
      <c r="B24" s="9"/>
      <c r="C24" s="9">
        <f>500.24+73</f>
        <v>573.24</v>
      </c>
      <c r="D24" s="9"/>
      <c r="E24" s="9"/>
      <c r="F24" s="9"/>
      <c r="G24" s="9">
        <f>298.54+169.98</f>
        <v>468.52</v>
      </c>
      <c r="H24" s="9">
        <f>105.91+53.37</f>
        <v>159.28</v>
      </c>
      <c r="I24" s="9"/>
      <c r="J24" s="9"/>
      <c r="K24" s="9">
        <f>229.99+63.82+27.8</f>
        <v>321.61</v>
      </c>
      <c r="L24" s="9">
        <f>204</f>
        <v>204</v>
      </c>
      <c r="M24" s="9"/>
      <c r="N24" s="9">
        <f>157.23+89.8+55+351</f>
        <v>653.03</v>
      </c>
      <c r="O24" s="9">
        <f>157.23+389.7+259.8+305.09+131.5+289.98+299.8+109.9+159.99+89.9</f>
        <v>2192.89</v>
      </c>
      <c r="P24" s="9">
        <f>131.5+289.98</f>
        <v>421.48</v>
      </c>
      <c r="Q24" s="9"/>
      <c r="R24" s="9"/>
    </row>
    <row r="25" spans="1:18" ht="15.75" customHeight="1" x14ac:dyDescent="0.2">
      <c r="A25" s="7" t="s">
        <v>62</v>
      </c>
      <c r="B25" s="9"/>
      <c r="C25" s="9"/>
      <c r="D25" s="9"/>
      <c r="E25" s="9"/>
      <c r="F25" s="9"/>
      <c r="G25" s="9"/>
      <c r="H25" s="9">
        <f>220*3+162</f>
        <v>822</v>
      </c>
      <c r="I25" s="9"/>
      <c r="J25" s="9"/>
      <c r="K25" s="9"/>
      <c r="L25" s="9">
        <f>189</f>
        <v>189</v>
      </c>
      <c r="M25" s="9"/>
      <c r="N25" s="9"/>
      <c r="O25" s="9"/>
      <c r="P25" s="9"/>
      <c r="Q25" s="9"/>
      <c r="R25" s="9"/>
    </row>
    <row r="26" spans="1:18" ht="15.75" customHeight="1" x14ac:dyDescent="0.2">
      <c r="A26" s="7" t="s">
        <v>46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>
        <f>369.99</f>
        <v>369.99</v>
      </c>
      <c r="O26" s="9">
        <f>22.9+164.99+300+350+120.99</f>
        <v>958.88</v>
      </c>
      <c r="P26" s="9">
        <v>164.99</v>
      </c>
      <c r="Q26" s="9"/>
      <c r="R26" s="9"/>
    </row>
    <row r="27" spans="1:18" ht="15.75" customHeight="1" x14ac:dyDescent="0.2">
      <c r="A27" s="7" t="s">
        <v>47</v>
      </c>
      <c r="B27" s="9">
        <f>12+4068.7+369.86+43.8</f>
        <v>4494.3599999999997</v>
      </c>
      <c r="C27" s="9">
        <v>48.29</v>
      </c>
      <c r="D27" s="9">
        <f>56*2+88</f>
        <v>200</v>
      </c>
      <c r="E27" s="9"/>
      <c r="F27" s="9"/>
      <c r="G27" s="9"/>
      <c r="H27" s="9"/>
      <c r="I27" s="9">
        <f>25.12-1</f>
        <v>24.12</v>
      </c>
      <c r="J27" s="9">
        <f>71.85</f>
        <v>71.849999999999994</v>
      </c>
      <c r="K27" s="9">
        <f>60+156.65+212.55</f>
        <v>429.20000000000005</v>
      </c>
      <c r="L27" s="9">
        <f>10+2.4</f>
        <v>12.4</v>
      </c>
      <c r="M27" s="9"/>
      <c r="N27" s="9">
        <v>-0.28000000000000003</v>
      </c>
      <c r="O27" s="9">
        <f>80.97+8+55+12+50+35-0.05</f>
        <v>240.92</v>
      </c>
      <c r="P27" s="9"/>
      <c r="Q27" s="9"/>
      <c r="R27" s="9"/>
    </row>
    <row r="28" spans="1:18" ht="15.75" customHeight="1" x14ac:dyDescent="0.2">
      <c r="A28" s="10" t="s">
        <v>63</v>
      </c>
      <c r="B28" s="11">
        <f t="shared" ref="B28:R28" si="2">SUM(B5:B27)</f>
        <v>18287.61</v>
      </c>
      <c r="C28" s="11">
        <f t="shared" si="2"/>
        <v>10999.22</v>
      </c>
      <c r="D28" s="11">
        <f t="shared" si="2"/>
        <v>12668.43</v>
      </c>
      <c r="E28" s="11">
        <f t="shared" si="2"/>
        <v>11706.716666666667</v>
      </c>
      <c r="F28" s="11">
        <f t="shared" si="2"/>
        <v>6847.1</v>
      </c>
      <c r="G28" s="11">
        <f t="shared" si="2"/>
        <v>13270.340000000002</v>
      </c>
      <c r="H28" s="11">
        <f t="shared" si="2"/>
        <v>19475.239999999998</v>
      </c>
      <c r="I28" s="11">
        <f t="shared" si="2"/>
        <v>11984.06</v>
      </c>
      <c r="J28" s="11">
        <f t="shared" si="2"/>
        <v>12106.88</v>
      </c>
      <c r="K28" s="11">
        <f t="shared" si="2"/>
        <v>11421.030000000002</v>
      </c>
      <c r="L28" s="11">
        <f t="shared" si="2"/>
        <v>14995.039999999999</v>
      </c>
      <c r="M28" s="11">
        <f t="shared" si="2"/>
        <v>12174.93</v>
      </c>
      <c r="N28" s="11">
        <f t="shared" si="2"/>
        <v>17337.240000000005</v>
      </c>
      <c r="O28" s="11">
        <f t="shared" si="2"/>
        <v>16742.549999999996</v>
      </c>
      <c r="P28" s="11">
        <f t="shared" si="2"/>
        <v>4190.6500000000005</v>
      </c>
      <c r="Q28" s="11">
        <f t="shared" si="2"/>
        <v>1971.69</v>
      </c>
      <c r="R28" s="11">
        <f t="shared" si="2"/>
        <v>1971.69</v>
      </c>
    </row>
    <row r="29" spans="1:18" ht="7.5" customHeight="1" x14ac:dyDescent="0.2">
      <c r="B29" s="26"/>
      <c r="C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15.75" customHeight="1" x14ac:dyDescent="0.2">
      <c r="A30" s="27" t="s">
        <v>64</v>
      </c>
      <c r="B30" s="28"/>
      <c r="C30" s="28"/>
      <c r="D30" s="28">
        <f>4834.48/2+86.9</f>
        <v>2504.14</v>
      </c>
      <c r="E30" s="28">
        <f>(7761.27+262.31)/3*2</f>
        <v>5349.0533333333342</v>
      </c>
      <c r="F30" s="28"/>
      <c r="G30" s="28">
        <v>630.96</v>
      </c>
      <c r="H30" s="28"/>
      <c r="I30" s="28"/>
      <c r="J30" s="28">
        <f>1392.84+299.5</f>
        <v>1692.34</v>
      </c>
      <c r="K30" s="28"/>
      <c r="L30" s="28"/>
      <c r="M30" s="28">
        <f>119.97+152.1+216.78</f>
        <v>488.85</v>
      </c>
      <c r="N30" s="28"/>
      <c r="O30" s="28"/>
      <c r="P30" s="28"/>
      <c r="Q30" s="28"/>
      <c r="R30" s="28"/>
    </row>
    <row r="31" spans="1:18" ht="7.5" customHeight="1" x14ac:dyDescent="0.2">
      <c r="B31" s="26"/>
      <c r="C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15.75" customHeight="1" x14ac:dyDescent="0.2">
      <c r="A32" s="7" t="s">
        <v>65</v>
      </c>
      <c r="B32" s="8"/>
      <c r="C32" s="8"/>
      <c r="D32" s="8">
        <v>13454.02</v>
      </c>
      <c r="E32" s="8">
        <v>16748.97</v>
      </c>
      <c r="F32" s="8">
        <v>5485.36</v>
      </c>
      <c r="G32" s="8">
        <v>10266.84</v>
      </c>
      <c r="H32" s="8">
        <v>15429.54</v>
      </c>
      <c r="I32" s="8">
        <v>8507.9</v>
      </c>
      <c r="J32" s="8">
        <v>13534.43</v>
      </c>
      <c r="K32" s="8">
        <v>10887.39</v>
      </c>
      <c r="L32" s="8">
        <v>13515.15</v>
      </c>
      <c r="M32" s="8">
        <v>12190.55</v>
      </c>
      <c r="N32" s="8">
        <v>16391.04</v>
      </c>
      <c r="O32" s="8">
        <v>14516.08</v>
      </c>
      <c r="P32" s="8"/>
      <c r="Q32" s="8"/>
      <c r="R32" s="8"/>
    </row>
    <row r="33" spans="1:18" ht="15.75" customHeight="1" x14ac:dyDescent="0.2">
      <c r="A33" s="7" t="s">
        <v>66</v>
      </c>
      <c r="B33" s="8"/>
      <c r="C33" s="8"/>
      <c r="D33" s="8">
        <v>1718.55</v>
      </c>
      <c r="E33" s="8">
        <v>306.8</v>
      </c>
      <c r="F33" s="8">
        <v>1361.74</v>
      </c>
      <c r="G33" s="8">
        <v>3634.46</v>
      </c>
      <c r="H33" s="8">
        <v>4045.7</v>
      </c>
      <c r="I33" s="8">
        <v>3476.16</v>
      </c>
      <c r="J33" s="8">
        <v>264.79000000000002</v>
      </c>
      <c r="K33" s="8">
        <v>533.64</v>
      </c>
      <c r="L33" s="8">
        <v>1479.89</v>
      </c>
      <c r="M33" s="8">
        <v>473.23</v>
      </c>
      <c r="N33" s="8">
        <v>946.2</v>
      </c>
      <c r="O33" s="8">
        <v>2226.4699999999998</v>
      </c>
      <c r="P33" s="8"/>
      <c r="Q33" s="8"/>
      <c r="R33" s="8"/>
    </row>
    <row r="34" spans="1:18" ht="15.75" customHeight="1" x14ac:dyDescent="0.2">
      <c r="A34" s="10" t="s">
        <v>67</v>
      </c>
      <c r="B34" s="11"/>
      <c r="C34" s="11"/>
      <c r="D34" s="11">
        <f t="shared" ref="D34:R34" si="3">SUM(D32:D33)</f>
        <v>15172.57</v>
      </c>
      <c r="E34" s="11">
        <f t="shared" si="3"/>
        <v>17055.77</v>
      </c>
      <c r="F34" s="11">
        <f t="shared" si="3"/>
        <v>6847.0999999999995</v>
      </c>
      <c r="G34" s="11">
        <f t="shared" si="3"/>
        <v>13901.3</v>
      </c>
      <c r="H34" s="11">
        <f t="shared" si="3"/>
        <v>19475.240000000002</v>
      </c>
      <c r="I34" s="11">
        <f t="shared" si="3"/>
        <v>11984.06</v>
      </c>
      <c r="J34" s="11">
        <f t="shared" si="3"/>
        <v>13799.220000000001</v>
      </c>
      <c r="K34" s="11">
        <f t="shared" si="3"/>
        <v>11421.029999999999</v>
      </c>
      <c r="L34" s="11">
        <f t="shared" si="3"/>
        <v>14995.039999999999</v>
      </c>
      <c r="M34" s="11">
        <f t="shared" si="3"/>
        <v>12663.779999999999</v>
      </c>
      <c r="N34" s="11">
        <f t="shared" si="3"/>
        <v>17337.240000000002</v>
      </c>
      <c r="O34" s="11">
        <f t="shared" si="3"/>
        <v>16742.55</v>
      </c>
      <c r="P34" s="11">
        <f t="shared" si="3"/>
        <v>0</v>
      </c>
      <c r="Q34" s="11">
        <f t="shared" si="3"/>
        <v>0</v>
      </c>
      <c r="R34" s="11">
        <f t="shared" si="3"/>
        <v>0</v>
      </c>
    </row>
    <row r="35" spans="1:18" ht="7.5" customHeight="1" x14ac:dyDescent="0.2">
      <c r="B35" s="26"/>
      <c r="C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ht="15.75" customHeight="1" x14ac:dyDescent="0.2">
      <c r="A36" s="29" t="s">
        <v>68</v>
      </c>
      <c r="B36" s="30"/>
      <c r="C36" s="30"/>
      <c r="D36" s="30">
        <f t="shared" ref="D36:R36" si="4">D28+D30-SUM(D32:D33)</f>
        <v>0</v>
      </c>
      <c r="E36" s="30">
        <f t="shared" si="4"/>
        <v>0</v>
      </c>
      <c r="F36" s="30">
        <f t="shared" si="4"/>
        <v>0</v>
      </c>
      <c r="G36" s="30">
        <f t="shared" si="4"/>
        <v>0</v>
      </c>
      <c r="H36" s="30">
        <f t="shared" si="4"/>
        <v>0</v>
      </c>
      <c r="I36" s="30">
        <f t="shared" si="4"/>
        <v>0</v>
      </c>
      <c r="J36" s="30">
        <f t="shared" si="4"/>
        <v>0</v>
      </c>
      <c r="K36" s="30">
        <f t="shared" si="4"/>
        <v>0</v>
      </c>
      <c r="L36" s="30">
        <f t="shared" si="4"/>
        <v>0</v>
      </c>
      <c r="M36" s="30">
        <f t="shared" si="4"/>
        <v>0</v>
      </c>
      <c r="N36" s="30">
        <f t="shared" si="4"/>
        <v>0</v>
      </c>
      <c r="O36" s="30">
        <f t="shared" si="4"/>
        <v>0</v>
      </c>
      <c r="P36" s="30">
        <f t="shared" si="4"/>
        <v>4190.6500000000005</v>
      </c>
      <c r="Q36" s="30">
        <f t="shared" si="4"/>
        <v>1971.69</v>
      </c>
      <c r="R36" s="30">
        <f t="shared" si="4"/>
        <v>1971.69</v>
      </c>
    </row>
    <row r="37" spans="1:18" ht="15.75" customHeight="1" x14ac:dyDescent="0.2">
      <c r="H37" s="31"/>
    </row>
    <row r="38" spans="1:18" ht="15.75" customHeight="1" x14ac:dyDescent="0.2">
      <c r="E38" s="26"/>
      <c r="K38" s="26"/>
    </row>
    <row r="39" spans="1:18" ht="15.75" customHeight="1" x14ac:dyDescent="0.2">
      <c r="E39" s="26"/>
    </row>
    <row r="40" spans="1:18" ht="15.75" customHeight="1" x14ac:dyDescent="0.2"/>
    <row r="41" spans="1:18" ht="15.75" customHeight="1" x14ac:dyDescent="0.2">
      <c r="I41" s="26"/>
    </row>
    <row r="42" spans="1:18" ht="15.75" customHeight="1" x14ac:dyDescent="0.2">
      <c r="F42" s="26"/>
      <c r="I42" s="26"/>
    </row>
    <row r="43" spans="1:18" ht="15.75" customHeight="1" x14ac:dyDescent="0.2">
      <c r="I43" s="31"/>
    </row>
    <row r="44" spans="1:18" ht="15.75" customHeight="1" x14ac:dyDescent="0.2">
      <c r="I44" s="31"/>
    </row>
    <row r="45" spans="1:18" ht="15.75" customHeight="1" x14ac:dyDescent="0.2"/>
    <row r="46" spans="1:18" ht="15.75" customHeight="1" x14ac:dyDescent="0.2"/>
    <row r="47" spans="1:18" ht="15.75" customHeight="1" x14ac:dyDescent="0.2"/>
    <row r="48" spans="1:1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pageMargins left="0.511811024" right="0.511811024" top="0.78740157499999996" bottom="0.78740157499999996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000"/>
  <sheetViews>
    <sheetView showGridLines="0" workbookViewId="0">
      <pane xSplit="1" ySplit="3" topLeftCell="AF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4.5" defaultRowHeight="15" customHeight="1" outlineLevelCol="1" x14ac:dyDescent="0.2"/>
  <cols>
    <col min="1" max="1" width="31.1640625" customWidth="1"/>
    <col min="2" max="25" width="15.83203125" hidden="1" customWidth="1" outlineLevel="1"/>
    <col min="26" max="26" width="20.5" customWidth="1" collapsed="1"/>
    <col min="27" max="41" width="20.5" customWidth="1"/>
    <col min="43" max="43" width="20.5" customWidth="1"/>
    <col min="46" max="46" width="21.1640625" customWidth="1"/>
  </cols>
  <sheetData>
    <row r="1" spans="1:43" ht="2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Q1" s="2"/>
    </row>
    <row r="2" spans="1:4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4"/>
      <c r="AM2" s="2"/>
      <c r="AN2" s="2"/>
      <c r="AO2" s="2"/>
      <c r="AQ2" s="2"/>
    </row>
    <row r="3" spans="1:43" x14ac:dyDescent="0.2">
      <c r="A3" s="5" t="s">
        <v>2</v>
      </c>
      <c r="B3" s="32">
        <v>44562</v>
      </c>
      <c r="C3" s="32">
        <v>44593</v>
      </c>
      <c r="D3" s="32">
        <v>44621</v>
      </c>
      <c r="E3" s="32">
        <v>44652</v>
      </c>
      <c r="F3" s="32">
        <v>44682</v>
      </c>
      <c r="G3" s="32">
        <v>44713</v>
      </c>
      <c r="H3" s="32">
        <v>44743</v>
      </c>
      <c r="I3" s="32">
        <v>44774</v>
      </c>
      <c r="J3" s="32">
        <v>44805</v>
      </c>
      <c r="K3" s="32">
        <v>44835</v>
      </c>
      <c r="L3" s="32">
        <v>44866</v>
      </c>
      <c r="M3" s="32">
        <v>44896</v>
      </c>
      <c r="N3" s="32">
        <v>44927</v>
      </c>
      <c r="O3" s="32">
        <v>44958</v>
      </c>
      <c r="P3" s="32">
        <v>44986</v>
      </c>
      <c r="Q3" s="32">
        <v>45017</v>
      </c>
      <c r="R3" s="32">
        <v>45047</v>
      </c>
      <c r="S3" s="32">
        <v>45078</v>
      </c>
      <c r="T3" s="32">
        <v>45108</v>
      </c>
      <c r="U3" s="32">
        <v>45139</v>
      </c>
      <c r="V3" s="32">
        <v>45170</v>
      </c>
      <c r="W3" s="32">
        <v>45200</v>
      </c>
      <c r="X3" s="32">
        <v>45231</v>
      </c>
      <c r="Y3" s="32">
        <v>45261</v>
      </c>
      <c r="Z3" s="6">
        <v>45292</v>
      </c>
      <c r="AA3" s="6">
        <v>45346</v>
      </c>
      <c r="AB3" s="6">
        <v>45375</v>
      </c>
      <c r="AC3" s="6">
        <v>45406</v>
      </c>
      <c r="AD3" s="6">
        <v>45436</v>
      </c>
      <c r="AE3" s="6">
        <v>45467</v>
      </c>
      <c r="AF3" s="6">
        <v>45497</v>
      </c>
      <c r="AG3" s="6">
        <v>45528</v>
      </c>
      <c r="AH3" s="6">
        <v>45559</v>
      </c>
      <c r="AI3" s="6">
        <v>45589</v>
      </c>
      <c r="AJ3" s="6">
        <v>45620</v>
      </c>
      <c r="AK3" s="6">
        <v>45650</v>
      </c>
      <c r="AL3" s="6">
        <v>45681</v>
      </c>
      <c r="AM3" s="6">
        <v>45712</v>
      </c>
      <c r="AN3" s="6">
        <v>45740</v>
      </c>
      <c r="AO3" s="6">
        <v>45771</v>
      </c>
      <c r="AQ3" s="6" t="s">
        <v>69</v>
      </c>
    </row>
    <row r="4" spans="1:43" x14ac:dyDescent="0.2">
      <c r="A4" s="7" t="s">
        <v>4</v>
      </c>
      <c r="B4" s="8">
        <v>0</v>
      </c>
      <c r="C4" s="8">
        <v>331.62</v>
      </c>
      <c r="D4" s="8">
        <v>331.62</v>
      </c>
      <c r="E4" s="8">
        <v>331.62</v>
      </c>
      <c r="F4" s="8">
        <v>331.62</v>
      </c>
      <c r="G4" s="8">
        <v>331.62</v>
      </c>
      <c r="H4" s="8">
        <v>331.62</v>
      </c>
      <c r="I4" s="8">
        <v>331.62</v>
      </c>
      <c r="J4" s="8">
        <v>331.62</v>
      </c>
      <c r="K4" s="8">
        <v>331.62</v>
      </c>
      <c r="L4" s="8">
        <v>331.62</v>
      </c>
      <c r="M4" s="8"/>
      <c r="N4" s="8"/>
      <c r="O4" s="8">
        <v>350.82</v>
      </c>
      <c r="P4" s="8">
        <v>350.82</v>
      </c>
      <c r="Q4" s="8">
        <v>350.82</v>
      </c>
      <c r="R4" s="8">
        <v>350.82</v>
      </c>
      <c r="S4" s="8">
        <v>350.82</v>
      </c>
      <c r="T4" s="8">
        <v>350.82</v>
      </c>
      <c r="U4" s="8"/>
      <c r="V4" s="8"/>
      <c r="W4" s="8"/>
      <c r="X4" s="8"/>
      <c r="Y4" s="8">
        <f>767.27+389.78</f>
        <v>1157.05</v>
      </c>
      <c r="Z4" s="8"/>
      <c r="AA4" s="8">
        <v>827.42</v>
      </c>
      <c r="AB4" s="8">
        <v>827.42</v>
      </c>
      <c r="AC4" s="8">
        <v>827.42</v>
      </c>
      <c r="AD4" s="8">
        <v>827.42</v>
      </c>
      <c r="AE4" s="8">
        <v>827.42</v>
      </c>
      <c r="AF4" s="8">
        <v>827.42</v>
      </c>
      <c r="AG4" s="8">
        <v>827.42</v>
      </c>
      <c r="AH4" s="8">
        <v>827.42</v>
      </c>
      <c r="AI4" s="8">
        <v>827.42</v>
      </c>
      <c r="AJ4" s="8">
        <v>827.42</v>
      </c>
      <c r="AK4" s="8"/>
      <c r="AL4" s="8"/>
      <c r="AM4" s="8">
        <v>910.16</v>
      </c>
      <c r="AN4" s="8">
        <v>910.16</v>
      </c>
      <c r="AO4" s="8">
        <v>910.16</v>
      </c>
      <c r="AQ4" s="8">
        <f t="shared" ref="AQ4:AQ12" si="0">SUM(Z4:AK4)/12</f>
        <v>689.51666666666654</v>
      </c>
    </row>
    <row r="5" spans="1:43" x14ac:dyDescent="0.2">
      <c r="A5" s="7" t="s">
        <v>5</v>
      </c>
      <c r="B5" s="8">
        <v>985.97</v>
      </c>
      <c r="C5" s="8">
        <v>948.24</v>
      </c>
      <c r="D5" s="8">
        <v>957.83</v>
      </c>
      <c r="E5" s="8">
        <v>1127.48</v>
      </c>
      <c r="F5" s="8">
        <v>1150.4000000000001</v>
      </c>
      <c r="G5" s="8">
        <v>1200.8699999999999</v>
      </c>
      <c r="H5" s="8">
        <v>1191.6199999999999</v>
      </c>
      <c r="I5" s="8">
        <v>1177.43</v>
      </c>
      <c r="J5" s="8">
        <v>1149.46</v>
      </c>
      <c r="K5" s="8">
        <v>1148.46</v>
      </c>
      <c r="L5" s="8">
        <v>1076.82</v>
      </c>
      <c r="M5" s="8">
        <v>1146.82</v>
      </c>
      <c r="N5" s="8">
        <v>1156.6600000000001</v>
      </c>
      <c r="O5" s="8">
        <v>1188.46</v>
      </c>
      <c r="P5" s="8">
        <v>1091.5899999999999</v>
      </c>
      <c r="Q5" s="8">
        <v>1225.43</v>
      </c>
      <c r="R5" s="8">
        <v>1234.33</v>
      </c>
      <c r="S5" s="8">
        <v>1307.32</v>
      </c>
      <c r="T5" s="8">
        <v>1347.48</v>
      </c>
      <c r="U5" s="8"/>
      <c r="V5" s="8"/>
      <c r="W5" s="33">
        <v>150</v>
      </c>
      <c r="X5" s="8">
        <v>150</v>
      </c>
      <c r="Y5" s="8">
        <v>150</v>
      </c>
      <c r="Z5" s="8">
        <v>150</v>
      </c>
      <c r="AA5" s="8">
        <v>150</v>
      </c>
      <c r="AB5" s="8">
        <v>150</v>
      </c>
      <c r="AC5" s="8">
        <v>150</v>
      </c>
      <c r="AD5" s="8">
        <v>150</v>
      </c>
      <c r="AE5" s="8">
        <v>150</v>
      </c>
      <c r="AF5" s="8">
        <v>150</v>
      </c>
      <c r="AG5" s="8">
        <v>150</v>
      </c>
      <c r="AH5" s="8">
        <v>150</v>
      </c>
      <c r="AI5" s="8">
        <v>150</v>
      </c>
      <c r="AJ5" s="8">
        <v>150</v>
      </c>
      <c r="AK5" s="8">
        <v>150</v>
      </c>
      <c r="AL5" s="8">
        <v>150</v>
      </c>
      <c r="AM5" s="8">
        <v>150</v>
      </c>
      <c r="AN5" s="8">
        <v>150</v>
      </c>
      <c r="AO5" s="8">
        <v>150</v>
      </c>
      <c r="AQ5" s="8">
        <f t="shared" si="0"/>
        <v>150</v>
      </c>
    </row>
    <row r="6" spans="1:43" x14ac:dyDescent="0.2">
      <c r="A6" s="7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>
        <v>100.88</v>
      </c>
      <c r="W6" s="8">
        <v>74.36</v>
      </c>
      <c r="X6" s="33">
        <v>72.05</v>
      </c>
      <c r="Y6" s="8">
        <v>72.05</v>
      </c>
      <c r="Z6" s="8">
        <v>72.05</v>
      </c>
      <c r="AA6" s="8">
        <v>72.05</v>
      </c>
      <c r="AB6" s="8">
        <v>76.89</v>
      </c>
      <c r="AC6" s="8">
        <v>72.05</v>
      </c>
      <c r="AD6" s="8">
        <v>185.02</v>
      </c>
      <c r="AE6" s="8">
        <v>178.95</v>
      </c>
      <c r="AF6" s="8">
        <v>318.3</v>
      </c>
      <c r="AG6" s="8">
        <v>438.7</v>
      </c>
      <c r="AH6" s="8">
        <v>148.78</v>
      </c>
      <c r="AI6" s="8">
        <v>197.1</v>
      </c>
      <c r="AJ6" s="8">
        <v>257.32</v>
      </c>
      <c r="AK6" s="8">
        <v>115.07</v>
      </c>
      <c r="AL6" s="8">
        <v>377.76</v>
      </c>
      <c r="AM6" s="8"/>
      <c r="AN6" s="8"/>
      <c r="AO6" s="8"/>
      <c r="AQ6" s="8">
        <f t="shared" si="0"/>
        <v>177.68999999999997</v>
      </c>
    </row>
    <row r="7" spans="1:43" x14ac:dyDescent="0.2">
      <c r="A7" s="7" t="s">
        <v>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>
        <v>59.56</v>
      </c>
      <c r="W7" s="8">
        <v>128.25</v>
      </c>
      <c r="X7" s="33">
        <v>169.63</v>
      </c>
      <c r="Y7" s="8">
        <v>185.67</v>
      </c>
      <c r="Z7" s="8">
        <v>179.23</v>
      </c>
      <c r="AA7" s="8">
        <v>207.14</v>
      </c>
      <c r="AB7" s="8">
        <v>278.75</v>
      </c>
      <c r="AC7" s="8">
        <v>236.93</v>
      </c>
      <c r="AD7" s="8">
        <v>264.39999999999998</v>
      </c>
      <c r="AE7" s="8">
        <v>184.19</v>
      </c>
      <c r="AF7" s="8">
        <v>272.33999999999997</v>
      </c>
      <c r="AG7" s="8">
        <v>221.72</v>
      </c>
      <c r="AH7" s="8">
        <v>303.27999999999997</v>
      </c>
      <c r="AI7" s="8">
        <v>383.69</v>
      </c>
      <c r="AJ7" s="8">
        <v>189.94</v>
      </c>
      <c r="AK7" s="8">
        <v>313.51</v>
      </c>
      <c r="AL7" s="8">
        <v>206.74</v>
      </c>
      <c r="AM7" s="8">
        <v>389.05</v>
      </c>
      <c r="AN7" s="8">
        <v>373.24</v>
      </c>
      <c r="AO7" s="8"/>
      <c r="AQ7" s="8">
        <f t="shared" si="0"/>
        <v>252.92666666666665</v>
      </c>
    </row>
    <row r="8" spans="1:43" x14ac:dyDescent="0.2">
      <c r="A8" s="7" t="s">
        <v>8</v>
      </c>
      <c r="B8" s="8">
        <v>74.28</v>
      </c>
      <c r="C8" s="8">
        <v>101.18</v>
      </c>
      <c r="D8" s="8">
        <v>94.9</v>
      </c>
      <c r="E8" s="8">
        <v>97.6</v>
      </c>
      <c r="F8" s="8">
        <v>74.25</v>
      </c>
      <c r="G8" s="8">
        <v>55.25</v>
      </c>
      <c r="H8" s="8">
        <v>77.27</v>
      </c>
      <c r="I8" s="8">
        <v>64.099999999999994</v>
      </c>
      <c r="J8" s="8">
        <v>52.38</v>
      </c>
      <c r="K8" s="8">
        <v>81.010000000000005</v>
      </c>
      <c r="L8" s="8">
        <v>81.459999999999994</v>
      </c>
      <c r="M8" s="8">
        <v>100.52</v>
      </c>
      <c r="N8" s="8">
        <v>87.09</v>
      </c>
      <c r="O8" s="8">
        <v>103.03</v>
      </c>
      <c r="P8" s="8">
        <v>100.65</v>
      </c>
      <c r="Q8" s="8">
        <v>105.37</v>
      </c>
      <c r="R8" s="8">
        <v>92.78</v>
      </c>
      <c r="S8" s="8">
        <v>81.61</v>
      </c>
      <c r="T8" s="8">
        <v>83.96</v>
      </c>
      <c r="U8" s="8">
        <v>55.55</v>
      </c>
      <c r="V8" s="8">
        <v>97.94</v>
      </c>
      <c r="W8" s="33">
        <v>126.54</v>
      </c>
      <c r="X8" s="8">
        <v>96.92</v>
      </c>
      <c r="Y8" s="8">
        <v>205.13</v>
      </c>
      <c r="Z8" s="8">
        <v>218.88</v>
      </c>
      <c r="AA8" s="8">
        <v>231.61</v>
      </c>
      <c r="AB8" s="8">
        <v>505.82</v>
      </c>
      <c r="AC8" s="8">
        <v>289.38</v>
      </c>
      <c r="AD8" s="8">
        <v>215.02</v>
      </c>
      <c r="AE8" s="8">
        <v>233.02</v>
      </c>
      <c r="AF8" s="8">
        <v>235.07</v>
      </c>
      <c r="AG8" s="8">
        <v>208.01</v>
      </c>
      <c r="AH8" s="8">
        <v>204.89</v>
      </c>
      <c r="AI8" s="8">
        <v>230.63</v>
      </c>
      <c r="AJ8" s="8">
        <v>201.27</v>
      </c>
      <c r="AK8" s="8">
        <v>182.43</v>
      </c>
      <c r="AL8" s="8">
        <v>274.89</v>
      </c>
      <c r="AM8" s="8">
        <v>412.45</v>
      </c>
      <c r="AN8" s="8"/>
      <c r="AO8" s="8"/>
      <c r="AQ8" s="8">
        <f t="shared" si="0"/>
        <v>246.33583333333331</v>
      </c>
    </row>
    <row r="9" spans="1:43" hidden="1" x14ac:dyDescent="0.2">
      <c r="A9" s="7" t="s">
        <v>70</v>
      </c>
      <c r="B9" s="8">
        <v>200</v>
      </c>
      <c r="C9" s="8">
        <v>200</v>
      </c>
      <c r="D9" s="8">
        <v>200</v>
      </c>
      <c r="E9" s="8">
        <v>200</v>
      </c>
      <c r="F9" s="8">
        <v>200</v>
      </c>
      <c r="G9" s="8">
        <v>250</v>
      </c>
      <c r="H9" s="8">
        <v>250</v>
      </c>
      <c r="I9" s="8">
        <v>250</v>
      </c>
      <c r="J9" s="8">
        <v>250</v>
      </c>
      <c r="K9" s="8">
        <v>250</v>
      </c>
      <c r="L9" s="8">
        <v>250</v>
      </c>
      <c r="M9" s="8"/>
      <c r="N9" s="8"/>
      <c r="O9" s="8"/>
      <c r="P9" s="8"/>
      <c r="Q9" s="8"/>
      <c r="R9" s="8"/>
      <c r="S9" s="8"/>
      <c r="T9" s="8"/>
      <c r="U9" s="8"/>
      <c r="V9" s="8"/>
      <c r="W9" s="33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Q9" s="8">
        <f t="shared" si="0"/>
        <v>0</v>
      </c>
    </row>
    <row r="10" spans="1:43" x14ac:dyDescent="0.2">
      <c r="A10" s="7" t="s">
        <v>9</v>
      </c>
      <c r="B10" s="8">
        <f>150+120</f>
        <v>270</v>
      </c>
      <c r="C10" s="8">
        <v>150</v>
      </c>
      <c r="D10" s="8">
        <v>300</v>
      </c>
      <c r="E10" s="8">
        <v>300</v>
      </c>
      <c r="F10" s="8">
        <v>300</v>
      </c>
      <c r="G10" s="8">
        <v>300</v>
      </c>
      <c r="H10" s="8">
        <v>450</v>
      </c>
      <c r="I10" s="8">
        <v>250</v>
      </c>
      <c r="J10" s="8">
        <v>300</v>
      </c>
      <c r="K10" s="8">
        <v>300</v>
      </c>
      <c r="L10" s="8">
        <v>300</v>
      </c>
      <c r="M10" s="8">
        <v>300</v>
      </c>
      <c r="N10" s="8">
        <v>150</v>
      </c>
      <c r="O10" s="8">
        <v>300</v>
      </c>
      <c r="P10" s="8">
        <v>600</v>
      </c>
      <c r="Q10" s="8">
        <v>600</v>
      </c>
      <c r="R10" s="8">
        <v>600</v>
      </c>
      <c r="S10" s="8">
        <f>150*5</f>
        <v>750</v>
      </c>
      <c r="T10" s="8">
        <f>200+200</f>
        <v>400</v>
      </c>
      <c r="U10" s="8">
        <v>200</v>
      </c>
      <c r="V10" s="8">
        <f>200+220+220+220</f>
        <v>860</v>
      </c>
      <c r="W10" s="33">
        <f>220*3</f>
        <v>660</v>
      </c>
      <c r="X10" s="8">
        <f>220*4</f>
        <v>880</v>
      </c>
      <c r="Y10" s="8">
        <f>220*3</f>
        <v>660</v>
      </c>
      <c r="Z10" s="8">
        <f t="shared" ref="Z10:AA10" si="1">220*4</f>
        <v>880</v>
      </c>
      <c r="AA10" s="8">
        <f t="shared" si="1"/>
        <v>880</v>
      </c>
      <c r="AB10" s="8">
        <f t="shared" ref="AB10:AD10" si="2">220*3</f>
        <v>660</v>
      </c>
      <c r="AC10" s="8">
        <f t="shared" si="2"/>
        <v>660</v>
      </c>
      <c r="AD10" s="8">
        <f t="shared" si="2"/>
        <v>660</v>
      </c>
      <c r="AE10" s="8">
        <f>220*2</f>
        <v>440</v>
      </c>
      <c r="AF10" s="8">
        <v>220</v>
      </c>
      <c r="AG10" s="8">
        <f>220*4</f>
        <v>880</v>
      </c>
      <c r="AH10" s="8">
        <f>220*3</f>
        <v>660</v>
      </c>
      <c r="AI10" s="8">
        <f>220*4</f>
        <v>880</v>
      </c>
      <c r="AJ10" s="8">
        <f t="shared" ref="AJ10:AK10" si="3">220*2</f>
        <v>440</v>
      </c>
      <c r="AK10" s="8">
        <f t="shared" si="3"/>
        <v>440</v>
      </c>
      <c r="AL10" s="8">
        <f>220*3</f>
        <v>660</v>
      </c>
      <c r="AM10" s="8"/>
      <c r="AN10" s="8"/>
      <c r="AO10" s="8"/>
      <c r="AQ10" s="8">
        <f t="shared" si="0"/>
        <v>641.66666666666663</v>
      </c>
    </row>
    <row r="11" spans="1:43" x14ac:dyDescent="0.2">
      <c r="A11" s="7" t="s">
        <v>10</v>
      </c>
      <c r="B11" s="8">
        <v>161.86000000000001</v>
      </c>
      <c r="C11" s="8">
        <v>161.86000000000001</v>
      </c>
      <c r="D11" s="8">
        <v>161.86000000000001</v>
      </c>
      <c r="E11" s="8">
        <v>161.86000000000001</v>
      </c>
      <c r="F11" s="8">
        <v>161.86000000000001</v>
      </c>
      <c r="G11" s="8">
        <v>161.86000000000001</v>
      </c>
      <c r="H11" s="8">
        <v>161.86000000000001</v>
      </c>
      <c r="I11" s="8">
        <v>161.86000000000001</v>
      </c>
      <c r="J11" s="8">
        <v>140.82</v>
      </c>
      <c r="K11" s="8">
        <v>140.81</v>
      </c>
      <c r="L11" s="8">
        <v>151.9</v>
      </c>
      <c r="M11" s="8">
        <v>151.9</v>
      </c>
      <c r="N11" s="8">
        <v>151.83000000000001</v>
      </c>
      <c r="O11" s="8">
        <v>150.94</v>
      </c>
      <c r="P11" s="8">
        <v>151.5</v>
      </c>
      <c r="Q11" s="8">
        <v>150.08000000000001</v>
      </c>
      <c r="R11" s="8">
        <v>151.9</v>
      </c>
      <c r="S11" s="8">
        <v>151.9</v>
      </c>
      <c r="T11" s="8">
        <v>151.9</v>
      </c>
      <c r="U11" s="8">
        <v>193.14</v>
      </c>
      <c r="V11" s="8">
        <v>99.9</v>
      </c>
      <c r="W11" s="33">
        <v>99.9</v>
      </c>
      <c r="X11" s="8">
        <v>99.9</v>
      </c>
      <c r="Y11" s="8">
        <v>99.9</v>
      </c>
      <c r="Z11" s="8">
        <v>99.9</v>
      </c>
      <c r="AA11" s="8">
        <v>99.9</v>
      </c>
      <c r="AB11" s="8">
        <v>99.9</v>
      </c>
      <c r="AC11" s="8">
        <v>99.9</v>
      </c>
      <c r="AD11" s="8">
        <v>99.9</v>
      </c>
      <c r="AE11" s="8">
        <v>99.9</v>
      </c>
      <c r="AF11" s="8">
        <v>99.9</v>
      </c>
      <c r="AG11" s="8">
        <v>99.9</v>
      </c>
      <c r="AH11" s="8">
        <v>99.9</v>
      </c>
      <c r="AI11" s="8">
        <v>99.9</v>
      </c>
      <c r="AJ11" s="8">
        <v>99.9</v>
      </c>
      <c r="AK11" s="8">
        <v>99.9</v>
      </c>
      <c r="AL11" s="8">
        <v>99.9</v>
      </c>
      <c r="AM11" s="8">
        <v>99.9</v>
      </c>
      <c r="AN11" s="8">
        <v>99.9</v>
      </c>
      <c r="AO11" s="8"/>
      <c r="AQ11" s="8">
        <f t="shared" si="0"/>
        <v>99.899999999999991</v>
      </c>
    </row>
    <row r="12" spans="1:43" x14ac:dyDescent="0.2">
      <c r="A12" s="7" t="s">
        <v>13</v>
      </c>
      <c r="B12" s="8">
        <v>0</v>
      </c>
      <c r="C12" s="8"/>
      <c r="D12" s="8"/>
      <c r="E12" s="8"/>
      <c r="F12" s="8">
        <v>739</v>
      </c>
      <c r="G12" s="8"/>
      <c r="H12" s="33">
        <v>253</v>
      </c>
      <c r="I12" s="8"/>
      <c r="J12" s="8">
        <f>220.83+382</f>
        <v>602.83000000000004</v>
      </c>
      <c r="K12" s="8">
        <f>226.8+179.09</f>
        <v>405.89</v>
      </c>
      <c r="L12" s="8">
        <f>214.8+76.46</f>
        <v>291.26</v>
      </c>
      <c r="M12" s="8">
        <v>850</v>
      </c>
      <c r="N12" s="8">
        <v>2465.4699999999998</v>
      </c>
      <c r="O12" s="8"/>
      <c r="P12" s="8"/>
      <c r="Q12" s="8">
        <f>1159+1484.25</f>
        <v>2643.25</v>
      </c>
      <c r="R12" s="8"/>
      <c r="S12" s="8"/>
      <c r="T12" s="8"/>
      <c r="U12" s="8"/>
      <c r="V12" s="8">
        <f>891+430</f>
        <v>1321</v>
      </c>
      <c r="W12" s="33">
        <f>400+241.47</f>
        <v>641.47</v>
      </c>
      <c r="X12" s="8">
        <f>475+2289</f>
        <v>2764</v>
      </c>
      <c r="Y12" s="8"/>
      <c r="Z12" s="8">
        <f>3497+800</f>
        <v>4297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Q12" s="8">
        <f t="shared" si="0"/>
        <v>358.08333333333331</v>
      </c>
    </row>
    <row r="13" spans="1:43" x14ac:dyDescent="0.2">
      <c r="A13" s="10" t="s">
        <v>14</v>
      </c>
      <c r="B13" s="11">
        <f t="shared" ref="B13:AO13" si="4">SUM(B4:B12)</f>
        <v>1692.1100000000001</v>
      </c>
      <c r="C13" s="11">
        <f t="shared" si="4"/>
        <v>1892.9</v>
      </c>
      <c r="D13" s="11">
        <f t="shared" si="4"/>
        <v>2046.21</v>
      </c>
      <c r="E13" s="11">
        <f t="shared" si="4"/>
        <v>2218.56</v>
      </c>
      <c r="F13" s="11">
        <f t="shared" si="4"/>
        <v>2957.13</v>
      </c>
      <c r="G13" s="11">
        <f t="shared" si="4"/>
        <v>2299.6</v>
      </c>
      <c r="H13" s="11">
        <f t="shared" si="4"/>
        <v>2715.37</v>
      </c>
      <c r="I13" s="11">
        <f t="shared" si="4"/>
        <v>2235.0100000000002</v>
      </c>
      <c r="J13" s="11">
        <f t="shared" si="4"/>
        <v>2827.11</v>
      </c>
      <c r="K13" s="11">
        <f t="shared" si="4"/>
        <v>2657.79</v>
      </c>
      <c r="L13" s="11">
        <f t="shared" si="4"/>
        <v>2483.0600000000004</v>
      </c>
      <c r="M13" s="11">
        <f t="shared" si="4"/>
        <v>2549.2399999999998</v>
      </c>
      <c r="N13" s="11">
        <f t="shared" si="4"/>
        <v>4011.0499999999997</v>
      </c>
      <c r="O13" s="11">
        <f t="shared" si="4"/>
        <v>2093.25</v>
      </c>
      <c r="P13" s="11">
        <f t="shared" si="4"/>
        <v>2294.56</v>
      </c>
      <c r="Q13" s="11">
        <f t="shared" si="4"/>
        <v>5074.95</v>
      </c>
      <c r="R13" s="11">
        <f t="shared" si="4"/>
        <v>2429.83</v>
      </c>
      <c r="S13" s="11">
        <f t="shared" si="4"/>
        <v>2641.65</v>
      </c>
      <c r="T13" s="11">
        <f t="shared" si="4"/>
        <v>2334.1600000000003</v>
      </c>
      <c r="U13" s="11">
        <f t="shared" si="4"/>
        <v>448.69</v>
      </c>
      <c r="V13" s="11">
        <f t="shared" si="4"/>
        <v>2539.2800000000002</v>
      </c>
      <c r="W13" s="11">
        <f t="shared" si="4"/>
        <v>1880.5200000000002</v>
      </c>
      <c r="X13" s="11">
        <f t="shared" si="4"/>
        <v>4232.5</v>
      </c>
      <c r="Y13" s="11">
        <f t="shared" si="4"/>
        <v>2529.8000000000002</v>
      </c>
      <c r="Z13" s="11">
        <f t="shared" si="4"/>
        <v>5897.0599999999995</v>
      </c>
      <c r="AA13" s="11">
        <f t="shared" si="4"/>
        <v>2468.1200000000003</v>
      </c>
      <c r="AB13" s="11">
        <f t="shared" si="4"/>
        <v>2598.7800000000002</v>
      </c>
      <c r="AC13" s="11">
        <f t="shared" si="4"/>
        <v>2335.6800000000003</v>
      </c>
      <c r="AD13" s="11">
        <f t="shared" si="4"/>
        <v>2401.7600000000002</v>
      </c>
      <c r="AE13" s="11">
        <f t="shared" si="4"/>
        <v>2113.48</v>
      </c>
      <c r="AF13" s="11">
        <f t="shared" si="4"/>
        <v>2123.0299999999997</v>
      </c>
      <c r="AG13" s="11">
        <f t="shared" si="4"/>
        <v>2825.75</v>
      </c>
      <c r="AH13" s="11">
        <f t="shared" si="4"/>
        <v>2394.27</v>
      </c>
      <c r="AI13" s="11">
        <f t="shared" si="4"/>
        <v>2768.7400000000002</v>
      </c>
      <c r="AJ13" s="11">
        <f t="shared" si="4"/>
        <v>2165.85</v>
      </c>
      <c r="AK13" s="11">
        <f t="shared" si="4"/>
        <v>1300.9100000000001</v>
      </c>
      <c r="AL13" s="11">
        <f t="shared" si="4"/>
        <v>1769.29</v>
      </c>
      <c r="AM13" s="11">
        <f t="shared" si="4"/>
        <v>1961.56</v>
      </c>
      <c r="AN13" s="11">
        <f t="shared" si="4"/>
        <v>1533.3</v>
      </c>
      <c r="AO13" s="11">
        <f t="shared" si="4"/>
        <v>1060.1599999999999</v>
      </c>
      <c r="AQ13" s="11">
        <f>SUM(AQ4:AQ12)</f>
        <v>2616.1191666666668</v>
      </c>
    </row>
    <row r="14" spans="1:43" x14ac:dyDescent="0.2">
      <c r="A14" s="7" t="s">
        <v>15</v>
      </c>
      <c r="B14" s="8">
        <v>369</v>
      </c>
      <c r="C14" s="8">
        <v>369</v>
      </c>
      <c r="D14" s="8">
        <v>369</v>
      </c>
      <c r="E14" s="8"/>
      <c r="F14" s="8">
        <v>339.17</v>
      </c>
      <c r="G14" s="8">
        <v>339.17</v>
      </c>
      <c r="H14" s="8">
        <v>339.17</v>
      </c>
      <c r="I14" s="8">
        <v>339.17</v>
      </c>
      <c r="J14" s="8">
        <v>339.17</v>
      </c>
      <c r="K14" s="8">
        <v>339.17</v>
      </c>
      <c r="L14" s="8">
        <v>339.17</v>
      </c>
      <c r="M14" s="8">
        <v>339.17</v>
      </c>
      <c r="N14" s="8">
        <v>339.17</v>
      </c>
      <c r="O14" s="8">
        <v>339.17</v>
      </c>
      <c r="P14" s="8">
        <v>339.17</v>
      </c>
      <c r="Q14" s="8">
        <v>339.17</v>
      </c>
      <c r="R14" s="8">
        <v>366.17</v>
      </c>
      <c r="S14" s="8">
        <v>366.17</v>
      </c>
      <c r="T14" s="8">
        <v>366.17</v>
      </c>
      <c r="U14" s="8"/>
      <c r="V14" s="8">
        <v>447</v>
      </c>
      <c r="W14" s="33">
        <v>670.5</v>
      </c>
      <c r="X14" s="8">
        <v>596</v>
      </c>
      <c r="Y14" s="8">
        <v>447</v>
      </c>
      <c r="Z14" s="8">
        <v>596</v>
      </c>
      <c r="AA14" s="8">
        <f>749.5-AA17</f>
        <v>670.5</v>
      </c>
      <c r="AB14" s="8">
        <f>675-AB17</f>
        <v>596</v>
      </c>
      <c r="AC14" s="8">
        <f>1171-AC17</f>
        <v>1092</v>
      </c>
      <c r="AD14" s="8">
        <f>643.38-AD17</f>
        <v>557.38</v>
      </c>
      <c r="AE14" s="8">
        <f>723-AE17</f>
        <v>637</v>
      </c>
      <c r="AF14" s="8">
        <f>484.12-AF17</f>
        <v>398.12</v>
      </c>
      <c r="AG14" s="8">
        <v>716.62</v>
      </c>
      <c r="AH14" s="8">
        <v>723</v>
      </c>
      <c r="AI14" s="8">
        <v>875.89</v>
      </c>
      <c r="AJ14" s="8">
        <v>563.78</v>
      </c>
      <c r="AK14" s="8">
        <v>0</v>
      </c>
      <c r="AL14" s="8">
        <v>0</v>
      </c>
      <c r="AM14" s="8"/>
      <c r="AN14" s="8"/>
      <c r="AO14" s="8"/>
      <c r="AQ14" s="8">
        <f>AVERAGE(Z14:AE14)</f>
        <v>691.48</v>
      </c>
    </row>
    <row r="15" spans="1:43" x14ac:dyDescent="0.2">
      <c r="A15" s="7" t="s">
        <v>71</v>
      </c>
      <c r="B15" s="8">
        <v>274.89999999999998</v>
      </c>
      <c r="C15" s="8">
        <v>247.41</v>
      </c>
      <c r="D15" s="8">
        <v>229</v>
      </c>
      <c r="E15" s="8">
        <v>269.88</v>
      </c>
      <c r="F15" s="8">
        <v>274.31</v>
      </c>
      <c r="G15" s="8">
        <v>210.52</v>
      </c>
      <c r="H15" s="8"/>
      <c r="I15" s="8">
        <v>251.91</v>
      </c>
      <c r="J15" s="8">
        <v>245.1</v>
      </c>
      <c r="K15" s="8">
        <v>245.21</v>
      </c>
      <c r="L15" s="8">
        <f>22.95+181.66</f>
        <v>204.60999999999999</v>
      </c>
      <c r="M15" s="8">
        <v>245</v>
      </c>
      <c r="N15" s="8">
        <v>272.56</v>
      </c>
      <c r="O15" s="8">
        <v>272.56</v>
      </c>
      <c r="P15" s="8">
        <v>227.22</v>
      </c>
      <c r="Q15" s="8">
        <v>286.91000000000003</v>
      </c>
      <c r="R15" s="8">
        <v>385.57</v>
      </c>
      <c r="S15" s="8">
        <v>243.9</v>
      </c>
      <c r="T15" s="15">
        <v>231.7</v>
      </c>
      <c r="U15" s="8">
        <v>243.86</v>
      </c>
      <c r="V15" s="8"/>
      <c r="W15" s="33">
        <f>243.86+44.08</f>
        <v>287.94</v>
      </c>
      <c r="X15" s="8">
        <v>221.98</v>
      </c>
      <c r="Y15" s="8"/>
      <c r="Z15" s="8">
        <v>287.5</v>
      </c>
      <c r="AA15" s="8">
        <v>299.16000000000003</v>
      </c>
      <c r="AB15" s="8">
        <v>299.16000000000003</v>
      </c>
      <c r="AC15" s="8">
        <v>299.16000000000003</v>
      </c>
      <c r="AD15" s="8">
        <v>330.12</v>
      </c>
      <c r="AE15" s="8">
        <v>342.85</v>
      </c>
      <c r="AF15" s="8">
        <v>342.85</v>
      </c>
      <c r="AG15" s="8"/>
      <c r="AH15" s="8"/>
      <c r="AI15" s="8"/>
      <c r="AJ15" s="8"/>
      <c r="AK15" s="8"/>
      <c r="AL15" s="8"/>
      <c r="AM15" s="8"/>
      <c r="AN15" s="8"/>
      <c r="AO15" s="8"/>
      <c r="AQ15" s="8">
        <f>AVERAGE(AD15:AF15)</f>
        <v>338.60666666666668</v>
      </c>
    </row>
    <row r="16" spans="1:43" x14ac:dyDescent="0.2">
      <c r="A16" s="7" t="s">
        <v>17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>
        <v>49.9</v>
      </c>
      <c r="M16" s="8">
        <v>49.9</v>
      </c>
      <c r="N16" s="8">
        <v>49.9</v>
      </c>
      <c r="O16" s="8">
        <v>49.9</v>
      </c>
      <c r="P16" s="8">
        <v>49.9</v>
      </c>
      <c r="Q16" s="8">
        <v>49.9</v>
      </c>
      <c r="R16" s="8">
        <v>49.9</v>
      </c>
      <c r="S16" s="8">
        <v>49.9</v>
      </c>
      <c r="T16" s="15">
        <v>49.9</v>
      </c>
      <c r="U16" s="8">
        <v>49.9</v>
      </c>
      <c r="V16" s="8">
        <v>49.9</v>
      </c>
      <c r="W16" s="8">
        <v>49.9</v>
      </c>
      <c r="X16" s="8">
        <v>49.9</v>
      </c>
      <c r="Y16" s="8">
        <v>52.49</v>
      </c>
      <c r="Z16" s="8">
        <v>52.49</v>
      </c>
      <c r="AA16" s="8">
        <v>52.49</v>
      </c>
      <c r="AB16" s="8">
        <v>52.49</v>
      </c>
      <c r="AC16" s="8">
        <v>52.49</v>
      </c>
      <c r="AD16" s="8">
        <v>52.49</v>
      </c>
      <c r="AE16" s="8">
        <v>52.49</v>
      </c>
      <c r="AF16" s="8">
        <v>52.49</v>
      </c>
      <c r="AG16" s="8"/>
      <c r="AH16" s="8"/>
      <c r="AI16" s="8"/>
      <c r="AJ16" s="8"/>
      <c r="AK16" s="8"/>
      <c r="AL16" s="8"/>
      <c r="AM16" s="8"/>
      <c r="AN16" s="8"/>
      <c r="AO16" s="8"/>
      <c r="AQ16" s="8">
        <f t="shared" ref="AQ16:AQ17" si="5">AF16</f>
        <v>52.49</v>
      </c>
    </row>
    <row r="17" spans="1:51" x14ac:dyDescent="0.2">
      <c r="A17" s="7" t="s">
        <v>72</v>
      </c>
      <c r="B17" s="8">
        <v>89</v>
      </c>
      <c r="C17" s="8"/>
      <c r="D17" s="8">
        <v>90</v>
      </c>
      <c r="E17" s="8"/>
      <c r="F17" s="8"/>
      <c r="G17" s="8">
        <v>75</v>
      </c>
      <c r="H17" s="8"/>
      <c r="I17" s="8">
        <v>90</v>
      </c>
      <c r="J17" s="8"/>
      <c r="K17" s="8">
        <v>99.9</v>
      </c>
      <c r="L17" s="8"/>
      <c r="M17" s="8"/>
      <c r="N17" s="8"/>
      <c r="O17" s="8">
        <v>55</v>
      </c>
      <c r="P17" s="8">
        <v>55</v>
      </c>
      <c r="Q17" s="8"/>
      <c r="R17" s="8">
        <v>55</v>
      </c>
      <c r="S17" s="8">
        <v>75</v>
      </c>
      <c r="T17" s="15">
        <v>57</v>
      </c>
      <c r="U17" s="8"/>
      <c r="V17" s="8"/>
      <c r="W17" s="33">
        <v>67</v>
      </c>
      <c r="X17" s="8"/>
      <c r="Y17" s="8">
        <v>79</v>
      </c>
      <c r="Z17" s="8">
        <v>79</v>
      </c>
      <c r="AA17" s="8">
        <v>79</v>
      </c>
      <c r="AB17" s="8">
        <v>79</v>
      </c>
      <c r="AC17" s="8">
        <v>79</v>
      </c>
      <c r="AD17" s="8">
        <v>86</v>
      </c>
      <c r="AE17" s="8">
        <v>86</v>
      </c>
      <c r="AF17" s="8">
        <v>86</v>
      </c>
      <c r="AG17" s="8">
        <v>0</v>
      </c>
      <c r="AH17" s="8">
        <v>0</v>
      </c>
      <c r="AI17" s="8">
        <v>0</v>
      </c>
      <c r="AJ17" s="8">
        <v>0</v>
      </c>
      <c r="AK17" s="8">
        <v>86</v>
      </c>
      <c r="AL17" s="8">
        <v>0</v>
      </c>
      <c r="AM17" s="8"/>
      <c r="AN17" s="8"/>
      <c r="AO17" s="8"/>
      <c r="AQ17" s="8">
        <f t="shared" si="5"/>
        <v>86</v>
      </c>
    </row>
    <row r="18" spans="1:51" x14ac:dyDescent="0.2">
      <c r="A18" s="7" t="s">
        <v>73</v>
      </c>
      <c r="B18" s="8">
        <v>262.79000000000002</v>
      </c>
      <c r="C18" s="8">
        <v>662</v>
      </c>
      <c r="D18" s="8"/>
      <c r="E18" s="8"/>
      <c r="F18" s="8">
        <v>393.95</v>
      </c>
      <c r="G18" s="8"/>
      <c r="H18" s="8"/>
      <c r="I18" s="8">
        <v>312.75</v>
      </c>
      <c r="J18" s="8"/>
      <c r="K18" s="8"/>
      <c r="L18" s="8"/>
      <c r="M18" s="8">
        <v>297.11</v>
      </c>
      <c r="N18" s="8"/>
      <c r="O18" s="8">
        <v>72.680000000000007</v>
      </c>
      <c r="P18" s="8">
        <v>235.9</v>
      </c>
      <c r="Q18" s="8">
        <v>32.85</v>
      </c>
      <c r="R18" s="8"/>
      <c r="S18" s="8">
        <f>50.41+247.9</f>
        <v>298.31</v>
      </c>
      <c r="T18" s="8"/>
      <c r="U18" s="8"/>
      <c r="V18" s="8"/>
      <c r="W18" s="8">
        <v>249.9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Q18" s="8"/>
    </row>
    <row r="19" spans="1:51" x14ac:dyDescent="0.2">
      <c r="A19" s="7" t="s">
        <v>18</v>
      </c>
      <c r="B19" s="8">
        <v>0</v>
      </c>
      <c r="C19" s="8"/>
      <c r="D19" s="8">
        <f>200+258.71</f>
        <v>458.71</v>
      </c>
      <c r="E19" s="8"/>
      <c r="F19" s="8">
        <f>70+75</f>
        <v>145</v>
      </c>
      <c r="G19" s="8"/>
      <c r="H19" s="8">
        <f>425+148.34+31.29+220</f>
        <v>824.63</v>
      </c>
      <c r="I19" s="8">
        <v>130</v>
      </c>
      <c r="J19" s="8"/>
      <c r="K19" s="8">
        <f>240.5+180+210.4+66.69+264.17</f>
        <v>961.76</v>
      </c>
      <c r="L19" s="8"/>
      <c r="M19" s="8"/>
      <c r="N19" s="8">
        <f>72.68+32.85+123.94</f>
        <v>229.47</v>
      </c>
      <c r="O19" s="8">
        <f>45.8</f>
        <v>45.8</v>
      </c>
      <c r="P19" s="8"/>
      <c r="Q19" s="8"/>
      <c r="R19" s="8"/>
      <c r="S19" s="8"/>
      <c r="T19" s="8"/>
      <c r="U19" s="8">
        <f>40</f>
        <v>40</v>
      </c>
      <c r="V19" s="8">
        <f>107.54+25</f>
        <v>132.54000000000002</v>
      </c>
      <c r="W19" s="8">
        <v>91</v>
      </c>
      <c r="X19" s="8">
        <v>26.3</v>
      </c>
      <c r="Y19" s="8"/>
      <c r="Z19" s="8">
        <v>232.37</v>
      </c>
      <c r="AA19" s="8"/>
      <c r="AB19" s="8"/>
      <c r="AC19" s="8"/>
      <c r="AD19" s="8"/>
      <c r="AE19" s="8"/>
      <c r="AF19" s="8">
        <v>220</v>
      </c>
      <c r="AG19" s="8"/>
      <c r="AH19" s="8"/>
      <c r="AI19" s="8"/>
      <c r="AJ19" s="8"/>
      <c r="AK19" s="8"/>
      <c r="AL19" s="8"/>
      <c r="AM19" s="8"/>
      <c r="AN19" s="8"/>
      <c r="AO19" s="8"/>
      <c r="AQ19" s="8"/>
    </row>
    <row r="20" spans="1:51" x14ac:dyDescent="0.2">
      <c r="A20" s="10" t="s">
        <v>19</v>
      </c>
      <c r="B20" s="11">
        <f t="shared" ref="B20:AO20" si="6">SUM(B14:B19)</f>
        <v>995.69</v>
      </c>
      <c r="C20" s="11">
        <f t="shared" si="6"/>
        <v>1278.4099999999999</v>
      </c>
      <c r="D20" s="11">
        <f t="shared" si="6"/>
        <v>1146.71</v>
      </c>
      <c r="E20" s="11">
        <f t="shared" si="6"/>
        <v>269.88</v>
      </c>
      <c r="F20" s="11">
        <f t="shared" si="6"/>
        <v>1152.43</v>
      </c>
      <c r="G20" s="11">
        <f t="shared" si="6"/>
        <v>624.69000000000005</v>
      </c>
      <c r="H20" s="11">
        <f t="shared" si="6"/>
        <v>1163.8</v>
      </c>
      <c r="I20" s="11">
        <f t="shared" si="6"/>
        <v>1123.83</v>
      </c>
      <c r="J20" s="11">
        <f t="shared" si="6"/>
        <v>584.27</v>
      </c>
      <c r="K20" s="11">
        <f t="shared" si="6"/>
        <v>1646.04</v>
      </c>
      <c r="L20" s="11">
        <f t="shared" si="6"/>
        <v>593.67999999999995</v>
      </c>
      <c r="M20" s="11">
        <f t="shared" si="6"/>
        <v>931.18000000000006</v>
      </c>
      <c r="N20" s="11">
        <f t="shared" si="6"/>
        <v>891.1</v>
      </c>
      <c r="O20" s="11">
        <f t="shared" si="6"/>
        <v>835.1099999999999</v>
      </c>
      <c r="P20" s="11">
        <f t="shared" si="6"/>
        <v>907.18999999999994</v>
      </c>
      <c r="Q20" s="11">
        <f t="shared" si="6"/>
        <v>708.83</v>
      </c>
      <c r="R20" s="11">
        <f t="shared" si="6"/>
        <v>856.64</v>
      </c>
      <c r="S20" s="11">
        <f t="shared" si="6"/>
        <v>1033.28</v>
      </c>
      <c r="T20" s="11">
        <f t="shared" si="6"/>
        <v>704.77</v>
      </c>
      <c r="U20" s="11">
        <f t="shared" si="6"/>
        <v>333.76</v>
      </c>
      <c r="V20" s="11">
        <f t="shared" si="6"/>
        <v>629.44000000000005</v>
      </c>
      <c r="W20" s="11">
        <f t="shared" si="6"/>
        <v>1416.2400000000002</v>
      </c>
      <c r="X20" s="11">
        <f t="shared" si="6"/>
        <v>894.18</v>
      </c>
      <c r="Y20" s="11">
        <f t="shared" si="6"/>
        <v>578.49</v>
      </c>
      <c r="Z20" s="11">
        <f t="shared" si="6"/>
        <v>1247.3600000000001</v>
      </c>
      <c r="AA20" s="11">
        <f t="shared" si="6"/>
        <v>1101.1500000000001</v>
      </c>
      <c r="AB20" s="11">
        <f t="shared" si="6"/>
        <v>1026.6500000000001</v>
      </c>
      <c r="AC20" s="11">
        <f t="shared" si="6"/>
        <v>1522.65</v>
      </c>
      <c r="AD20" s="11">
        <f t="shared" si="6"/>
        <v>1025.99</v>
      </c>
      <c r="AE20" s="11">
        <f t="shared" si="6"/>
        <v>1118.3399999999999</v>
      </c>
      <c r="AF20" s="11">
        <f t="shared" si="6"/>
        <v>1099.46</v>
      </c>
      <c r="AG20" s="11">
        <f t="shared" si="6"/>
        <v>716.62</v>
      </c>
      <c r="AH20" s="11">
        <f t="shared" si="6"/>
        <v>723</v>
      </c>
      <c r="AI20" s="11">
        <f t="shared" si="6"/>
        <v>875.89</v>
      </c>
      <c r="AJ20" s="11">
        <f t="shared" si="6"/>
        <v>563.78</v>
      </c>
      <c r="AK20" s="11">
        <f t="shared" si="6"/>
        <v>86</v>
      </c>
      <c r="AL20" s="11">
        <f t="shared" si="6"/>
        <v>0</v>
      </c>
      <c r="AM20" s="11">
        <f t="shared" si="6"/>
        <v>0</v>
      </c>
      <c r="AN20" s="11">
        <f t="shared" si="6"/>
        <v>0</v>
      </c>
      <c r="AO20" s="11">
        <f t="shared" si="6"/>
        <v>0</v>
      </c>
      <c r="AQ20" s="11">
        <f>SUM(AQ14:AQ19)</f>
        <v>1168.5766666666666</v>
      </c>
    </row>
    <row r="21" spans="1:51" ht="15.75" customHeight="1" x14ac:dyDescent="0.2">
      <c r="A21" s="7" t="s">
        <v>74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>
        <f>3080.27</f>
        <v>3080.27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>
        <v>2789.68</v>
      </c>
      <c r="AM21" s="8"/>
      <c r="AN21" s="8"/>
      <c r="AO21" s="8"/>
      <c r="AQ21" s="8">
        <f>Z21/12</f>
        <v>256.68916666666667</v>
      </c>
    </row>
    <row r="22" spans="1:51" ht="15.75" customHeight="1" x14ac:dyDescent="0.2">
      <c r="A22" s="7" t="s">
        <v>75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>
        <v>2682.75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>
        <v>2433.02</v>
      </c>
      <c r="AL22" s="8"/>
      <c r="AM22" s="8"/>
      <c r="AN22" s="8"/>
      <c r="AO22" s="8"/>
      <c r="AQ22" s="8">
        <f>Y22/12</f>
        <v>223.5625</v>
      </c>
    </row>
    <row r="23" spans="1:51" ht="15.75" customHeight="1" x14ac:dyDescent="0.2">
      <c r="A23" s="7" t="s">
        <v>76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5"/>
      <c r="U23" s="8"/>
      <c r="V23" s="8"/>
      <c r="W23" s="33"/>
      <c r="X23" s="8"/>
      <c r="Y23" s="8">
        <v>160.35</v>
      </c>
      <c r="Z23" s="8">
        <v>266</v>
      </c>
      <c r="AA23" s="8">
        <v>180.2</v>
      </c>
      <c r="AB23" s="8">
        <v>149.88999999999999</v>
      </c>
      <c r="AC23" s="8">
        <v>294.98</v>
      </c>
      <c r="AD23" s="8">
        <v>223.1</v>
      </c>
      <c r="AE23" s="8">
        <v>270.92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Q23" s="8">
        <f t="shared" ref="AQ23:AQ24" si="7">AVERAGE(Z23:AE23)</f>
        <v>230.84833333333333</v>
      </c>
    </row>
    <row r="24" spans="1:51" ht="15.75" customHeight="1" x14ac:dyDescent="0.2">
      <c r="A24" s="7" t="s">
        <v>23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5"/>
      <c r="U24" s="8"/>
      <c r="V24" s="8"/>
      <c r="W24" s="33"/>
      <c r="X24" s="8"/>
      <c r="Y24" s="8">
        <f t="shared" ref="Y24:AB24" si="8">155.81+152.14+170</f>
        <v>477.95</v>
      </c>
      <c r="Z24" s="8">
        <f t="shared" si="8"/>
        <v>477.95</v>
      </c>
      <c r="AA24" s="8">
        <f t="shared" si="8"/>
        <v>477.95</v>
      </c>
      <c r="AB24" s="8">
        <f t="shared" si="8"/>
        <v>477.95</v>
      </c>
      <c r="AC24" s="8">
        <f>150.52+154.36+123.02</f>
        <v>427.9</v>
      </c>
      <c r="AD24" s="8">
        <f>155.81+152.14+170</f>
        <v>477.95</v>
      </c>
      <c r="AE24" s="8">
        <f>175.93+148.74+157.88</f>
        <v>482.55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Q24" s="8">
        <f t="shared" si="7"/>
        <v>470.375</v>
      </c>
      <c r="AT24" s="12" t="s">
        <v>24</v>
      </c>
    </row>
    <row r="25" spans="1:51" ht="15.75" customHeight="1" x14ac:dyDescent="0.2">
      <c r="A25" s="7" t="s">
        <v>25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5"/>
      <c r="U25" s="8"/>
      <c r="V25" s="8"/>
      <c r="W25" s="33"/>
      <c r="X25" s="8"/>
      <c r="Y25" s="8"/>
      <c r="Z25" s="8">
        <v>3572.93</v>
      </c>
      <c r="AA25" s="8"/>
      <c r="AB25" s="8">
        <f>533.5</f>
        <v>533.5</v>
      </c>
      <c r="AC25" s="8"/>
      <c r="AD25" s="8"/>
      <c r="AE25" s="8"/>
      <c r="AF25" s="8"/>
      <c r="AG25" s="8"/>
      <c r="AH25" s="8"/>
      <c r="AI25" s="8"/>
      <c r="AJ25" s="8"/>
      <c r="AK25" s="8"/>
      <c r="AL25" s="8">
        <f>6676.31</f>
        <v>6676.31</v>
      </c>
      <c r="AN25" s="8"/>
      <c r="AO25" s="8"/>
      <c r="AQ25" s="8">
        <f>SUM(Z25:AB25)/6</f>
        <v>684.40500000000009</v>
      </c>
      <c r="AT25" s="12" t="s">
        <v>26</v>
      </c>
      <c r="AU25" s="12">
        <f>60*4</f>
        <v>240</v>
      </c>
    </row>
    <row r="26" spans="1:51" ht="15.75" customHeight="1" x14ac:dyDescent="0.2">
      <c r="A26" s="10" t="s">
        <v>77</v>
      </c>
      <c r="B26" s="11">
        <f t="shared" ref="B26:AO26" si="9">SUM(B21:B25)</f>
        <v>0</v>
      </c>
      <c r="C26" s="11">
        <f t="shared" si="9"/>
        <v>0</v>
      </c>
      <c r="D26" s="11">
        <f t="shared" si="9"/>
        <v>0</v>
      </c>
      <c r="E26" s="11">
        <f t="shared" si="9"/>
        <v>0</v>
      </c>
      <c r="F26" s="11">
        <f t="shared" si="9"/>
        <v>0</v>
      </c>
      <c r="G26" s="11">
        <f t="shared" si="9"/>
        <v>0</v>
      </c>
      <c r="H26" s="11">
        <f t="shared" si="9"/>
        <v>0</v>
      </c>
      <c r="I26" s="11">
        <f t="shared" si="9"/>
        <v>0</v>
      </c>
      <c r="J26" s="11">
        <f t="shared" si="9"/>
        <v>0</v>
      </c>
      <c r="K26" s="11">
        <f t="shared" si="9"/>
        <v>0</v>
      </c>
      <c r="L26" s="11">
        <f t="shared" si="9"/>
        <v>0</v>
      </c>
      <c r="M26" s="11">
        <f t="shared" si="9"/>
        <v>0</v>
      </c>
      <c r="N26" s="11">
        <f t="shared" si="9"/>
        <v>0</v>
      </c>
      <c r="O26" s="11">
        <f t="shared" si="9"/>
        <v>0</v>
      </c>
      <c r="P26" s="11">
        <f t="shared" si="9"/>
        <v>0</v>
      </c>
      <c r="Q26" s="11">
        <f t="shared" si="9"/>
        <v>0</v>
      </c>
      <c r="R26" s="11">
        <f t="shared" si="9"/>
        <v>0</v>
      </c>
      <c r="S26" s="11">
        <f t="shared" si="9"/>
        <v>0</v>
      </c>
      <c r="T26" s="11">
        <f t="shared" si="9"/>
        <v>0</v>
      </c>
      <c r="U26" s="11">
        <f t="shared" si="9"/>
        <v>0</v>
      </c>
      <c r="V26" s="11">
        <f t="shared" si="9"/>
        <v>0</v>
      </c>
      <c r="W26" s="11">
        <f t="shared" si="9"/>
        <v>0</v>
      </c>
      <c r="X26" s="11">
        <f t="shared" si="9"/>
        <v>0</v>
      </c>
      <c r="Y26" s="11">
        <f t="shared" si="9"/>
        <v>3321.0499999999997</v>
      </c>
      <c r="Z26" s="11">
        <f t="shared" si="9"/>
        <v>7397.15</v>
      </c>
      <c r="AA26" s="11">
        <f t="shared" si="9"/>
        <v>658.15</v>
      </c>
      <c r="AB26" s="11">
        <f t="shared" si="9"/>
        <v>1161.3399999999999</v>
      </c>
      <c r="AC26" s="11">
        <f t="shared" si="9"/>
        <v>722.88</v>
      </c>
      <c r="AD26" s="11">
        <f t="shared" si="9"/>
        <v>701.05</v>
      </c>
      <c r="AE26" s="11">
        <f t="shared" si="9"/>
        <v>753.47</v>
      </c>
      <c r="AF26" s="11">
        <f t="shared" si="9"/>
        <v>0</v>
      </c>
      <c r="AG26" s="11">
        <f t="shared" si="9"/>
        <v>0</v>
      </c>
      <c r="AH26" s="11">
        <f t="shared" si="9"/>
        <v>0</v>
      </c>
      <c r="AI26" s="11">
        <f t="shared" si="9"/>
        <v>0</v>
      </c>
      <c r="AJ26" s="11">
        <f t="shared" si="9"/>
        <v>2433.02</v>
      </c>
      <c r="AK26" s="11">
        <f t="shared" si="9"/>
        <v>0</v>
      </c>
      <c r="AL26" s="11">
        <f t="shared" si="9"/>
        <v>9465.99</v>
      </c>
      <c r="AM26" s="11">
        <f t="shared" si="9"/>
        <v>0</v>
      </c>
      <c r="AN26" s="11">
        <f t="shared" si="9"/>
        <v>0</v>
      </c>
      <c r="AO26" s="11">
        <f t="shared" si="9"/>
        <v>0</v>
      </c>
      <c r="AQ26" s="11">
        <f>SUM(AQ21:AQ25)</f>
        <v>1865.88</v>
      </c>
      <c r="AT26" s="13" t="s">
        <v>28</v>
      </c>
      <c r="AU26" s="12">
        <v>150</v>
      </c>
    </row>
    <row r="27" spans="1:51" ht="15.75" customHeight="1" x14ac:dyDescent="0.2">
      <c r="A27" s="14" t="s">
        <v>31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8">
        <f>420+96.73+168.89+24.34</f>
        <v>709.96</v>
      </c>
      <c r="AA27" s="8">
        <f>420+213.26+335.91</f>
        <v>969.17000000000007</v>
      </c>
      <c r="AB27" s="8">
        <f>420+138.69+268.92+36.18+31.17</f>
        <v>894.96</v>
      </c>
      <c r="AC27" s="8">
        <f>420+492.95</f>
        <v>912.95</v>
      </c>
      <c r="AD27" s="8">
        <f>193.3+420+144.05+378.1</f>
        <v>1135.4499999999998</v>
      </c>
      <c r="AE27" s="8">
        <f>237.63+223.26+293.37+420</f>
        <v>1174.26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Q27" s="8">
        <f>SUM(AA27:AE27)/5</f>
        <v>1017.3579999999999</v>
      </c>
      <c r="AT27" s="12" t="s">
        <v>30</v>
      </c>
    </row>
    <row r="28" spans="1:51" ht="15.75" customHeight="1" x14ac:dyDescent="0.2">
      <c r="A28" s="14" t="s">
        <v>78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>
        <f>117.5</f>
        <v>117.5</v>
      </c>
      <c r="AA28" s="8"/>
      <c r="AB28" s="8">
        <f>74.3+176+50+57.6+77.52+78.5+59.7+129.99+38.5+54.9+176+11.6+62+36+113+139.9</f>
        <v>1335.5100000000002</v>
      </c>
      <c r="AC28" s="34">
        <f>206.8+116.79</f>
        <v>323.59000000000003</v>
      </c>
      <c r="AD28" s="8">
        <f>195+139.9+64.59+63.3+161.59+75.6+214.62+75.4+128.79+62+113.3+152.88+249.67+10.5+277.78+68.4+52.56</f>
        <v>2105.8799999999997</v>
      </c>
      <c r="AE28" s="8">
        <f>250.86+22.1+84+90.87+12.62+59.64+69.88+116.05+69.5+105+436.15+51.94+25+64+54.5+197.6+88.68+29+83+22.84+160+127.69+171.77+45.1+51.7+476.86+18.07+15.05</f>
        <v>2999.4700000000003</v>
      </c>
      <c r="AF28" s="8">
        <f>100.18+70.9+175.32+14.23+71.46+227.56</f>
        <v>659.65</v>
      </c>
      <c r="AG28" s="8"/>
      <c r="AH28" s="8"/>
      <c r="AI28" s="8"/>
      <c r="AJ28" s="8"/>
      <c r="AK28" s="8"/>
      <c r="AL28" s="8"/>
      <c r="AM28" s="8"/>
      <c r="AN28" s="8"/>
      <c r="AO28" s="8"/>
      <c r="AQ28" s="28">
        <f>SUM(AD28:AE28,AB28)/3</f>
        <v>2146.9533333333334</v>
      </c>
      <c r="AT28" s="13" t="s">
        <v>32</v>
      </c>
      <c r="AU28" s="12">
        <f>200*2</f>
        <v>400</v>
      </c>
    </row>
    <row r="29" spans="1:51" ht="15.75" customHeight="1" x14ac:dyDescent="0.2">
      <c r="A29" s="14" t="s">
        <v>37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>
        <f>90+387+150</f>
        <v>627</v>
      </c>
      <c r="S29" s="15"/>
      <c r="T29" s="15">
        <f>204.3-30</f>
        <v>174.3</v>
      </c>
      <c r="U29" s="15"/>
      <c r="V29" s="15"/>
      <c r="W29" s="15"/>
      <c r="X29" s="15"/>
      <c r="Y29" s="15"/>
      <c r="Z29" s="15"/>
      <c r="AA29" s="8"/>
      <c r="AB29" s="8"/>
      <c r="AC29" s="8"/>
      <c r="AD29" s="8"/>
      <c r="AE29" s="8">
        <f>127.26+100</f>
        <v>227.26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Q29" s="8"/>
      <c r="AT29" s="12" t="s">
        <v>34</v>
      </c>
      <c r="AY29" s="35"/>
    </row>
    <row r="30" spans="1:51" ht="15.75" customHeight="1" x14ac:dyDescent="0.2">
      <c r="A30" s="10" t="s">
        <v>79</v>
      </c>
      <c r="B30" s="11">
        <f t="shared" ref="B30:AO30" si="10">SUM(B27:B29)</f>
        <v>0</v>
      </c>
      <c r="C30" s="11">
        <f t="shared" si="10"/>
        <v>0</v>
      </c>
      <c r="D30" s="11">
        <f t="shared" si="10"/>
        <v>0</v>
      </c>
      <c r="E30" s="11">
        <f t="shared" si="10"/>
        <v>0</v>
      </c>
      <c r="F30" s="11">
        <f t="shared" si="10"/>
        <v>0</v>
      </c>
      <c r="G30" s="11">
        <f t="shared" si="10"/>
        <v>0</v>
      </c>
      <c r="H30" s="11">
        <f t="shared" si="10"/>
        <v>0</v>
      </c>
      <c r="I30" s="11">
        <f t="shared" si="10"/>
        <v>0</v>
      </c>
      <c r="J30" s="11">
        <f t="shared" si="10"/>
        <v>0</v>
      </c>
      <c r="K30" s="11">
        <f t="shared" si="10"/>
        <v>0</v>
      </c>
      <c r="L30" s="11">
        <f t="shared" si="10"/>
        <v>0</v>
      </c>
      <c r="M30" s="11">
        <f t="shared" si="10"/>
        <v>0</v>
      </c>
      <c r="N30" s="11">
        <f t="shared" si="10"/>
        <v>0</v>
      </c>
      <c r="O30" s="11">
        <f t="shared" si="10"/>
        <v>0</v>
      </c>
      <c r="P30" s="11">
        <f t="shared" si="10"/>
        <v>0</v>
      </c>
      <c r="Q30" s="11">
        <f t="shared" si="10"/>
        <v>0</v>
      </c>
      <c r="R30" s="11">
        <f t="shared" si="10"/>
        <v>627</v>
      </c>
      <c r="S30" s="11">
        <f t="shared" si="10"/>
        <v>0</v>
      </c>
      <c r="T30" s="11">
        <f t="shared" si="10"/>
        <v>174.3</v>
      </c>
      <c r="U30" s="11">
        <f t="shared" si="10"/>
        <v>0</v>
      </c>
      <c r="V30" s="11">
        <f t="shared" si="10"/>
        <v>0</v>
      </c>
      <c r="W30" s="11">
        <f t="shared" si="10"/>
        <v>0</v>
      </c>
      <c r="X30" s="11">
        <f t="shared" si="10"/>
        <v>0</v>
      </c>
      <c r="Y30" s="11">
        <f t="shared" si="10"/>
        <v>0</v>
      </c>
      <c r="Z30" s="11">
        <f t="shared" si="10"/>
        <v>827.46</v>
      </c>
      <c r="AA30" s="11">
        <f t="shared" si="10"/>
        <v>969.17000000000007</v>
      </c>
      <c r="AB30" s="11">
        <f t="shared" si="10"/>
        <v>2230.4700000000003</v>
      </c>
      <c r="AC30" s="11">
        <f t="shared" si="10"/>
        <v>1236.54</v>
      </c>
      <c r="AD30" s="11">
        <f t="shared" si="10"/>
        <v>3241.3299999999995</v>
      </c>
      <c r="AE30" s="11">
        <f t="shared" si="10"/>
        <v>4400.9900000000007</v>
      </c>
      <c r="AF30" s="11">
        <f t="shared" si="10"/>
        <v>659.65</v>
      </c>
      <c r="AG30" s="11">
        <f t="shared" si="10"/>
        <v>0</v>
      </c>
      <c r="AH30" s="11">
        <f t="shared" si="10"/>
        <v>0</v>
      </c>
      <c r="AI30" s="11">
        <f t="shared" si="10"/>
        <v>0</v>
      </c>
      <c r="AJ30" s="11">
        <f t="shared" si="10"/>
        <v>0</v>
      </c>
      <c r="AK30" s="11">
        <f t="shared" si="10"/>
        <v>0</v>
      </c>
      <c r="AL30" s="11">
        <f t="shared" si="10"/>
        <v>0</v>
      </c>
      <c r="AM30" s="11">
        <f t="shared" si="10"/>
        <v>0</v>
      </c>
      <c r="AN30" s="11">
        <f t="shared" si="10"/>
        <v>0</v>
      </c>
      <c r="AO30" s="11">
        <f t="shared" si="10"/>
        <v>0</v>
      </c>
      <c r="AQ30" s="11">
        <f>SUM(AQ27:AQ29)</f>
        <v>3164.3113333333331</v>
      </c>
      <c r="AT30" s="13" t="s">
        <v>36</v>
      </c>
      <c r="AU30" s="12">
        <f>120*1.5*4</f>
        <v>720</v>
      </c>
    </row>
    <row r="31" spans="1:51" ht="15.75" customHeight="1" x14ac:dyDescent="0.2">
      <c r="A31" s="7" t="s">
        <v>48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>
        <v>7916.666666666667</v>
      </c>
      <c r="U31" s="8">
        <v>7916.666666666667</v>
      </c>
      <c r="V31" s="8">
        <v>7916.666666666667</v>
      </c>
      <c r="W31" s="8">
        <v>7916.666666666667</v>
      </c>
      <c r="X31" s="8">
        <v>7916.666666666667</v>
      </c>
      <c r="Y31" s="8">
        <v>7916.666666666667</v>
      </c>
      <c r="Z31" s="8">
        <v>7916.666666666667</v>
      </c>
      <c r="AA31" s="8">
        <v>7916.666666666667</v>
      </c>
      <c r="AB31" s="8">
        <v>7916.666666666667</v>
      </c>
      <c r="AC31" s="8">
        <v>7916.666666666667</v>
      </c>
      <c r="AD31" s="8">
        <v>7916.666666666667</v>
      </c>
      <c r="AE31" s="8">
        <v>7916.666666666667</v>
      </c>
      <c r="AF31" s="8">
        <v>7916.666666666667</v>
      </c>
      <c r="AG31" s="8">
        <v>7916.666666666667</v>
      </c>
      <c r="AH31" s="8">
        <v>7916.666666666667</v>
      </c>
      <c r="AI31" s="8">
        <v>7916.666666666667</v>
      </c>
      <c r="AJ31" s="8">
        <v>7916.666666666667</v>
      </c>
      <c r="AK31" s="8">
        <v>7916.666666666667</v>
      </c>
      <c r="AL31" s="8">
        <v>7916.666666666667</v>
      </c>
      <c r="AM31" s="8">
        <v>7916.666666666667</v>
      </c>
      <c r="AN31" s="8">
        <v>7916.666666666667</v>
      </c>
      <c r="AO31" s="8">
        <v>7916.666666666667</v>
      </c>
      <c r="AQ31" s="8">
        <f>SUM(Z31:AK31)/12</f>
        <v>7916.6666666666679</v>
      </c>
    </row>
    <row r="32" spans="1:51" ht="15.75" customHeight="1" x14ac:dyDescent="0.2">
      <c r="A32" s="14" t="s">
        <v>80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8"/>
      <c r="AA32" s="8"/>
      <c r="AB32" s="8"/>
      <c r="AC32" s="8"/>
      <c r="AD32" s="8"/>
      <c r="AE32" s="8"/>
      <c r="AF32" s="8">
        <v>1069.3800000000001</v>
      </c>
      <c r="AG32" s="8">
        <v>7636.98</v>
      </c>
      <c r="AH32" s="8">
        <v>17457.05</v>
      </c>
      <c r="AI32" s="8">
        <v>7249.5</v>
      </c>
      <c r="AJ32" s="8">
        <v>2017.97</v>
      </c>
      <c r="AK32" s="8">
        <v>1501.02</v>
      </c>
      <c r="AL32" s="8">
        <v>1718.55</v>
      </c>
      <c r="AM32" s="8"/>
      <c r="AN32" s="8"/>
      <c r="AO32" s="8"/>
      <c r="AQ32" s="8"/>
    </row>
    <row r="33" spans="1:47" ht="15.75" customHeight="1" x14ac:dyDescent="0.2">
      <c r="A33" s="14" t="s">
        <v>81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8"/>
      <c r="AB33" s="8"/>
      <c r="AC33" s="8"/>
      <c r="AD33" s="8"/>
      <c r="AE33" s="8"/>
      <c r="AF33" s="8"/>
      <c r="AG33" s="8"/>
      <c r="AH33" s="8"/>
      <c r="AI33" s="8">
        <v>11112.44</v>
      </c>
      <c r="AJ33" s="8">
        <f>12466.5-AJ22</f>
        <v>10033.48</v>
      </c>
      <c r="AK33" s="8">
        <v>8981.89</v>
      </c>
      <c r="AL33" s="8">
        <f>13454.02-AL25+2000</f>
        <v>8777.7099999999991</v>
      </c>
      <c r="AM33" s="8"/>
      <c r="AN33" s="8"/>
      <c r="AO33" s="8"/>
      <c r="AQ33" s="28"/>
      <c r="AT33" s="12"/>
    </row>
    <row r="34" spans="1:47" ht="15.75" customHeight="1" x14ac:dyDescent="0.2">
      <c r="A34" s="10" t="s">
        <v>63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>
        <f t="shared" ref="Z34:AO34" si="11">SUM(Z32:Z33)</f>
        <v>0</v>
      </c>
      <c r="AA34" s="11">
        <f t="shared" si="11"/>
        <v>0</v>
      </c>
      <c r="AB34" s="11">
        <f t="shared" si="11"/>
        <v>0</v>
      </c>
      <c r="AC34" s="11">
        <f t="shared" si="11"/>
        <v>0</v>
      </c>
      <c r="AD34" s="11">
        <f t="shared" si="11"/>
        <v>0</v>
      </c>
      <c r="AE34" s="11">
        <f t="shared" si="11"/>
        <v>0</v>
      </c>
      <c r="AF34" s="11">
        <f t="shared" si="11"/>
        <v>1069.3800000000001</v>
      </c>
      <c r="AG34" s="11">
        <f t="shared" si="11"/>
        <v>7636.98</v>
      </c>
      <c r="AH34" s="11">
        <f t="shared" si="11"/>
        <v>17457.05</v>
      </c>
      <c r="AI34" s="11">
        <f t="shared" si="11"/>
        <v>18361.940000000002</v>
      </c>
      <c r="AJ34" s="11">
        <f t="shared" si="11"/>
        <v>12051.449999999999</v>
      </c>
      <c r="AK34" s="11">
        <f t="shared" si="11"/>
        <v>10482.91</v>
      </c>
      <c r="AL34" s="11">
        <f t="shared" si="11"/>
        <v>10496.259999999998</v>
      </c>
      <c r="AM34" s="11">
        <f t="shared" si="11"/>
        <v>0</v>
      </c>
      <c r="AN34" s="11">
        <f t="shared" si="11"/>
        <v>0</v>
      </c>
      <c r="AO34" s="11">
        <f t="shared" si="11"/>
        <v>0</v>
      </c>
      <c r="AQ34" s="11"/>
      <c r="AT34" s="12"/>
    </row>
    <row r="35" spans="1:47" ht="15.75" customHeight="1" x14ac:dyDescent="0.2">
      <c r="A35" s="18" t="s">
        <v>82</v>
      </c>
      <c r="B35" s="19">
        <f t="shared" ref="B35:Y35" si="12">B20+B13+B26+B30</f>
        <v>2687.8</v>
      </c>
      <c r="C35" s="19">
        <f t="shared" si="12"/>
        <v>3171.31</v>
      </c>
      <c r="D35" s="19">
        <f t="shared" si="12"/>
        <v>3192.92</v>
      </c>
      <c r="E35" s="19">
        <f t="shared" si="12"/>
        <v>2488.44</v>
      </c>
      <c r="F35" s="19">
        <f t="shared" si="12"/>
        <v>4109.5600000000004</v>
      </c>
      <c r="G35" s="19">
        <f t="shared" si="12"/>
        <v>2924.29</v>
      </c>
      <c r="H35" s="19">
        <f t="shared" si="12"/>
        <v>3879.17</v>
      </c>
      <c r="I35" s="19">
        <f t="shared" si="12"/>
        <v>3358.84</v>
      </c>
      <c r="J35" s="19">
        <f t="shared" si="12"/>
        <v>3411.38</v>
      </c>
      <c r="K35" s="19">
        <f t="shared" si="12"/>
        <v>4303.83</v>
      </c>
      <c r="L35" s="19">
        <f t="shared" si="12"/>
        <v>3076.7400000000002</v>
      </c>
      <c r="M35" s="19">
        <f t="shared" si="12"/>
        <v>3480.42</v>
      </c>
      <c r="N35" s="19">
        <f t="shared" si="12"/>
        <v>4902.1499999999996</v>
      </c>
      <c r="O35" s="19">
        <f t="shared" si="12"/>
        <v>2928.3599999999997</v>
      </c>
      <c r="P35" s="19">
        <f t="shared" si="12"/>
        <v>3201.75</v>
      </c>
      <c r="Q35" s="19">
        <f t="shared" si="12"/>
        <v>5783.78</v>
      </c>
      <c r="R35" s="19">
        <f t="shared" si="12"/>
        <v>3913.47</v>
      </c>
      <c r="S35" s="19">
        <f t="shared" si="12"/>
        <v>3674.9300000000003</v>
      </c>
      <c r="T35" s="19">
        <f t="shared" si="12"/>
        <v>3213.2300000000005</v>
      </c>
      <c r="U35" s="19">
        <f t="shared" si="12"/>
        <v>782.45</v>
      </c>
      <c r="V35" s="19">
        <f t="shared" si="12"/>
        <v>3168.7200000000003</v>
      </c>
      <c r="W35" s="19">
        <f t="shared" si="12"/>
        <v>3296.76</v>
      </c>
      <c r="X35" s="19">
        <f t="shared" si="12"/>
        <v>5126.68</v>
      </c>
      <c r="Y35" s="19">
        <f t="shared" si="12"/>
        <v>6429.34</v>
      </c>
      <c r="Z35" s="19">
        <f t="shared" ref="Z35:AO35" si="13">Z$20+Z$13+Z$26+Z$30+Z$34</f>
        <v>15369.029999999999</v>
      </c>
      <c r="AA35" s="19">
        <f t="shared" si="13"/>
        <v>5196.59</v>
      </c>
      <c r="AB35" s="19">
        <f t="shared" si="13"/>
        <v>7017.2400000000007</v>
      </c>
      <c r="AC35" s="19">
        <f t="shared" si="13"/>
        <v>5817.75</v>
      </c>
      <c r="AD35" s="19">
        <f t="shared" si="13"/>
        <v>7370.1299999999992</v>
      </c>
      <c r="AE35" s="19">
        <f t="shared" si="13"/>
        <v>8386.2800000000007</v>
      </c>
      <c r="AF35" s="19">
        <f t="shared" si="13"/>
        <v>4951.5200000000004</v>
      </c>
      <c r="AG35" s="19">
        <f t="shared" si="13"/>
        <v>11179.349999999999</v>
      </c>
      <c r="AH35" s="19">
        <f t="shared" si="13"/>
        <v>20574.32</v>
      </c>
      <c r="AI35" s="19">
        <f t="shared" si="13"/>
        <v>22006.570000000003</v>
      </c>
      <c r="AJ35" s="19">
        <f t="shared" si="13"/>
        <v>17214.099999999999</v>
      </c>
      <c r="AK35" s="19">
        <f t="shared" si="13"/>
        <v>11869.82</v>
      </c>
      <c r="AL35" s="19">
        <f t="shared" si="13"/>
        <v>21731.539999999997</v>
      </c>
      <c r="AM35" s="19">
        <f t="shared" si="13"/>
        <v>1961.56</v>
      </c>
      <c r="AN35" s="19">
        <f t="shared" si="13"/>
        <v>1533.3</v>
      </c>
      <c r="AO35" s="19">
        <f t="shared" si="13"/>
        <v>1060.1599999999999</v>
      </c>
      <c r="AQ35" s="19">
        <f>AQ20+AQ13+AQ26+AQ30</f>
        <v>8814.8871666666673</v>
      </c>
      <c r="AT35" s="13" t="s">
        <v>38</v>
      </c>
      <c r="AU35" s="12">
        <v>350</v>
      </c>
    </row>
    <row r="36" spans="1:47" ht="5.25" customHeight="1" x14ac:dyDescent="0.2">
      <c r="A36" s="2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Q36" s="2"/>
    </row>
    <row r="37" spans="1:47" ht="15.75" customHeight="1" x14ac:dyDescent="0.2">
      <c r="A37" s="18" t="s">
        <v>50</v>
      </c>
      <c r="B37" s="19">
        <f t="shared" ref="B37:AO37" si="14">B35/2</f>
        <v>1343.9</v>
      </c>
      <c r="C37" s="19">
        <f t="shared" si="14"/>
        <v>1585.655</v>
      </c>
      <c r="D37" s="19">
        <f t="shared" si="14"/>
        <v>1596.46</v>
      </c>
      <c r="E37" s="19">
        <f t="shared" si="14"/>
        <v>1244.22</v>
      </c>
      <c r="F37" s="19">
        <f t="shared" si="14"/>
        <v>2054.7800000000002</v>
      </c>
      <c r="G37" s="19">
        <f t="shared" si="14"/>
        <v>1462.145</v>
      </c>
      <c r="H37" s="19">
        <f t="shared" si="14"/>
        <v>1939.585</v>
      </c>
      <c r="I37" s="19">
        <f t="shared" si="14"/>
        <v>1679.42</v>
      </c>
      <c r="J37" s="19">
        <f t="shared" si="14"/>
        <v>1705.69</v>
      </c>
      <c r="K37" s="19">
        <f t="shared" si="14"/>
        <v>2151.915</v>
      </c>
      <c r="L37" s="19">
        <f t="shared" si="14"/>
        <v>1538.3700000000001</v>
      </c>
      <c r="M37" s="19">
        <f t="shared" si="14"/>
        <v>1740.21</v>
      </c>
      <c r="N37" s="19">
        <f t="shared" si="14"/>
        <v>2451.0749999999998</v>
      </c>
      <c r="O37" s="19">
        <f t="shared" si="14"/>
        <v>1464.1799999999998</v>
      </c>
      <c r="P37" s="19">
        <f t="shared" si="14"/>
        <v>1600.875</v>
      </c>
      <c r="Q37" s="19">
        <f t="shared" si="14"/>
        <v>2891.89</v>
      </c>
      <c r="R37" s="19">
        <f t="shared" si="14"/>
        <v>1956.7349999999999</v>
      </c>
      <c r="S37" s="19">
        <f t="shared" si="14"/>
        <v>1837.4650000000001</v>
      </c>
      <c r="T37" s="19">
        <f t="shared" si="14"/>
        <v>1606.6150000000002</v>
      </c>
      <c r="U37" s="19">
        <f t="shared" si="14"/>
        <v>391.22500000000002</v>
      </c>
      <c r="V37" s="19">
        <f t="shared" si="14"/>
        <v>1584.3600000000001</v>
      </c>
      <c r="W37" s="19">
        <f t="shared" si="14"/>
        <v>1648.38</v>
      </c>
      <c r="X37" s="19">
        <f t="shared" si="14"/>
        <v>2563.34</v>
      </c>
      <c r="Y37" s="19">
        <f t="shared" si="14"/>
        <v>3214.67</v>
      </c>
      <c r="Z37" s="19">
        <f t="shared" si="14"/>
        <v>7684.5149999999994</v>
      </c>
      <c r="AA37" s="19">
        <f t="shared" si="14"/>
        <v>2598.2950000000001</v>
      </c>
      <c r="AB37" s="19">
        <f t="shared" si="14"/>
        <v>3508.6200000000003</v>
      </c>
      <c r="AC37" s="19">
        <f t="shared" si="14"/>
        <v>2908.875</v>
      </c>
      <c r="AD37" s="19">
        <f t="shared" si="14"/>
        <v>3685.0649999999996</v>
      </c>
      <c r="AE37" s="19">
        <f t="shared" si="14"/>
        <v>4193.1400000000003</v>
      </c>
      <c r="AF37" s="19">
        <f t="shared" si="14"/>
        <v>2475.7600000000002</v>
      </c>
      <c r="AG37" s="19">
        <f t="shared" si="14"/>
        <v>5589.6749999999993</v>
      </c>
      <c r="AH37" s="19">
        <f t="shared" si="14"/>
        <v>10287.16</v>
      </c>
      <c r="AI37" s="19">
        <f t="shared" si="14"/>
        <v>11003.285000000002</v>
      </c>
      <c r="AJ37" s="19">
        <f t="shared" si="14"/>
        <v>8607.0499999999993</v>
      </c>
      <c r="AK37" s="19">
        <f t="shared" si="14"/>
        <v>5934.91</v>
      </c>
      <c r="AL37" s="19">
        <f t="shared" si="14"/>
        <v>10865.769999999999</v>
      </c>
      <c r="AM37" s="19">
        <f t="shared" si="14"/>
        <v>980.78</v>
      </c>
      <c r="AN37" s="19">
        <f t="shared" si="14"/>
        <v>766.65</v>
      </c>
      <c r="AO37" s="19">
        <f t="shared" si="14"/>
        <v>530.07999999999993</v>
      </c>
      <c r="AQ37" s="19">
        <f>AQ35/2</f>
        <v>4407.4435833333337</v>
      </c>
    </row>
    <row r="38" spans="1:47" ht="5.25" customHeight="1" x14ac:dyDescent="0.2">
      <c r="A38" s="2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Q38" s="2"/>
    </row>
    <row r="39" spans="1:47" ht="15.75" customHeight="1" x14ac:dyDescent="0.2">
      <c r="A39" s="20" t="s">
        <v>51</v>
      </c>
      <c r="B39" s="21">
        <f t="shared" ref="B39:Y39" si="15">B24+B17+B30+B35</f>
        <v>2776.8</v>
      </c>
      <c r="C39" s="21">
        <f t="shared" si="15"/>
        <v>3171.31</v>
      </c>
      <c r="D39" s="21">
        <f t="shared" si="15"/>
        <v>3282.92</v>
      </c>
      <c r="E39" s="21">
        <f t="shared" si="15"/>
        <v>2488.44</v>
      </c>
      <c r="F39" s="21">
        <f t="shared" si="15"/>
        <v>4109.5600000000004</v>
      </c>
      <c r="G39" s="21">
        <f t="shared" si="15"/>
        <v>2999.29</v>
      </c>
      <c r="H39" s="21">
        <f t="shared" si="15"/>
        <v>3879.17</v>
      </c>
      <c r="I39" s="21">
        <f t="shared" si="15"/>
        <v>3448.84</v>
      </c>
      <c r="J39" s="21">
        <f t="shared" si="15"/>
        <v>3411.38</v>
      </c>
      <c r="K39" s="21">
        <f t="shared" si="15"/>
        <v>4403.7299999999996</v>
      </c>
      <c r="L39" s="21">
        <f t="shared" si="15"/>
        <v>3076.7400000000002</v>
      </c>
      <c r="M39" s="21">
        <f t="shared" si="15"/>
        <v>3480.42</v>
      </c>
      <c r="N39" s="21">
        <f t="shared" si="15"/>
        <v>4902.1499999999996</v>
      </c>
      <c r="O39" s="21">
        <f t="shared" si="15"/>
        <v>2983.3599999999997</v>
      </c>
      <c r="P39" s="21">
        <f t="shared" si="15"/>
        <v>3256.75</v>
      </c>
      <c r="Q39" s="21">
        <f t="shared" si="15"/>
        <v>5783.78</v>
      </c>
      <c r="R39" s="21">
        <f t="shared" si="15"/>
        <v>4595.4699999999993</v>
      </c>
      <c r="S39" s="21">
        <f t="shared" si="15"/>
        <v>3749.9300000000003</v>
      </c>
      <c r="T39" s="21">
        <f t="shared" si="15"/>
        <v>3444.5300000000007</v>
      </c>
      <c r="U39" s="21">
        <f t="shared" si="15"/>
        <v>782.45</v>
      </c>
      <c r="V39" s="21">
        <f t="shared" si="15"/>
        <v>3168.7200000000003</v>
      </c>
      <c r="W39" s="21">
        <f t="shared" si="15"/>
        <v>3363.76</v>
      </c>
      <c r="X39" s="21">
        <f t="shared" si="15"/>
        <v>5126.68</v>
      </c>
      <c r="Y39" s="21">
        <f t="shared" si="15"/>
        <v>6986.29</v>
      </c>
      <c r="Z39" s="21">
        <f t="shared" ref="Z39:AO39" si="16">Z$20+Z$13+Z$26+Z$30+Z$34-Z31</f>
        <v>7452.3633333333319</v>
      </c>
      <c r="AA39" s="21">
        <f t="shared" si="16"/>
        <v>-2720.0766666666668</v>
      </c>
      <c r="AB39" s="21">
        <f t="shared" si="16"/>
        <v>-899.42666666666628</v>
      </c>
      <c r="AC39" s="21">
        <f t="shared" si="16"/>
        <v>-2098.916666666667</v>
      </c>
      <c r="AD39" s="21">
        <f t="shared" si="16"/>
        <v>-546.53666666666777</v>
      </c>
      <c r="AE39" s="21">
        <f t="shared" si="16"/>
        <v>469.61333333333369</v>
      </c>
      <c r="AF39" s="21">
        <f t="shared" si="16"/>
        <v>-2965.1466666666665</v>
      </c>
      <c r="AG39" s="21">
        <f t="shared" si="16"/>
        <v>3262.6833333333316</v>
      </c>
      <c r="AH39" s="21">
        <f t="shared" si="16"/>
        <v>12657.653333333332</v>
      </c>
      <c r="AI39" s="21">
        <f t="shared" si="16"/>
        <v>14089.903333333335</v>
      </c>
      <c r="AJ39" s="21">
        <f t="shared" si="16"/>
        <v>9297.4333333333307</v>
      </c>
      <c r="AK39" s="21">
        <f t="shared" si="16"/>
        <v>3953.1533333333327</v>
      </c>
      <c r="AL39" s="21">
        <f t="shared" si="16"/>
        <v>13814.873333333329</v>
      </c>
      <c r="AM39" s="21">
        <f t="shared" si="16"/>
        <v>-5955.1066666666666</v>
      </c>
      <c r="AN39" s="21">
        <f t="shared" si="16"/>
        <v>-6383.3666666666668</v>
      </c>
      <c r="AO39" s="21">
        <f t="shared" si="16"/>
        <v>-6856.5066666666671</v>
      </c>
      <c r="AQ39" s="21">
        <f>AQ24+AQ17+AQ30+AQ35</f>
        <v>12535.5735</v>
      </c>
      <c r="AT39" s="13" t="s">
        <v>38</v>
      </c>
      <c r="AU39" s="12">
        <v>350</v>
      </c>
    </row>
    <row r="40" spans="1:47" ht="5.25" customHeight="1" x14ac:dyDescent="0.2">
      <c r="A40" s="2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Q40" s="2"/>
    </row>
    <row r="41" spans="1:47" ht="15.75" customHeight="1" x14ac:dyDescent="0.2">
      <c r="A41" s="20" t="s">
        <v>52</v>
      </c>
      <c r="B41" s="21">
        <f t="shared" ref="B41:AO41" si="17">B39/2</f>
        <v>1388.4</v>
      </c>
      <c r="C41" s="21">
        <f t="shared" si="17"/>
        <v>1585.655</v>
      </c>
      <c r="D41" s="21">
        <f t="shared" si="17"/>
        <v>1641.46</v>
      </c>
      <c r="E41" s="21">
        <f t="shared" si="17"/>
        <v>1244.22</v>
      </c>
      <c r="F41" s="21">
        <f t="shared" si="17"/>
        <v>2054.7800000000002</v>
      </c>
      <c r="G41" s="21">
        <f t="shared" si="17"/>
        <v>1499.645</v>
      </c>
      <c r="H41" s="21">
        <f t="shared" si="17"/>
        <v>1939.585</v>
      </c>
      <c r="I41" s="21">
        <f t="shared" si="17"/>
        <v>1724.42</v>
      </c>
      <c r="J41" s="21">
        <f t="shared" si="17"/>
        <v>1705.69</v>
      </c>
      <c r="K41" s="21">
        <f t="shared" si="17"/>
        <v>2201.8649999999998</v>
      </c>
      <c r="L41" s="21">
        <f t="shared" si="17"/>
        <v>1538.3700000000001</v>
      </c>
      <c r="M41" s="21">
        <f t="shared" si="17"/>
        <v>1740.21</v>
      </c>
      <c r="N41" s="21">
        <f t="shared" si="17"/>
        <v>2451.0749999999998</v>
      </c>
      <c r="O41" s="21">
        <f t="shared" si="17"/>
        <v>1491.6799999999998</v>
      </c>
      <c r="P41" s="21">
        <f t="shared" si="17"/>
        <v>1628.375</v>
      </c>
      <c r="Q41" s="21">
        <f t="shared" si="17"/>
        <v>2891.89</v>
      </c>
      <c r="R41" s="21">
        <f t="shared" si="17"/>
        <v>2297.7349999999997</v>
      </c>
      <c r="S41" s="21">
        <f t="shared" si="17"/>
        <v>1874.9650000000001</v>
      </c>
      <c r="T41" s="21">
        <f t="shared" si="17"/>
        <v>1722.2650000000003</v>
      </c>
      <c r="U41" s="21">
        <f t="shared" si="17"/>
        <v>391.22500000000002</v>
      </c>
      <c r="V41" s="21">
        <f t="shared" si="17"/>
        <v>1584.3600000000001</v>
      </c>
      <c r="W41" s="21">
        <f t="shared" si="17"/>
        <v>1681.88</v>
      </c>
      <c r="X41" s="21">
        <f t="shared" si="17"/>
        <v>2563.34</v>
      </c>
      <c r="Y41" s="21">
        <f t="shared" si="17"/>
        <v>3493.145</v>
      </c>
      <c r="Z41" s="21">
        <f t="shared" si="17"/>
        <v>3726.1816666666659</v>
      </c>
      <c r="AA41" s="21">
        <f t="shared" si="17"/>
        <v>-1360.0383333333334</v>
      </c>
      <c r="AB41" s="21">
        <f t="shared" si="17"/>
        <v>-449.71333333333314</v>
      </c>
      <c r="AC41" s="21">
        <f t="shared" si="17"/>
        <v>-1049.4583333333335</v>
      </c>
      <c r="AD41" s="21">
        <f t="shared" si="17"/>
        <v>-273.26833333333389</v>
      </c>
      <c r="AE41" s="21">
        <f t="shared" si="17"/>
        <v>234.80666666666684</v>
      </c>
      <c r="AF41" s="21">
        <f t="shared" si="17"/>
        <v>-1482.5733333333333</v>
      </c>
      <c r="AG41" s="21">
        <f t="shared" si="17"/>
        <v>1631.3416666666658</v>
      </c>
      <c r="AH41" s="21">
        <f t="shared" si="17"/>
        <v>6328.8266666666659</v>
      </c>
      <c r="AI41" s="21">
        <f t="shared" si="17"/>
        <v>7044.9516666666677</v>
      </c>
      <c r="AJ41" s="21">
        <f t="shared" si="17"/>
        <v>4648.7166666666653</v>
      </c>
      <c r="AK41" s="21">
        <f t="shared" si="17"/>
        <v>1976.5766666666664</v>
      </c>
      <c r="AL41" s="21">
        <f t="shared" si="17"/>
        <v>6907.4366666666647</v>
      </c>
      <c r="AM41" s="21">
        <f t="shared" si="17"/>
        <v>-2977.5533333333333</v>
      </c>
      <c r="AN41" s="21">
        <f t="shared" si="17"/>
        <v>-3191.6833333333334</v>
      </c>
      <c r="AO41" s="21">
        <f t="shared" si="17"/>
        <v>-3428.2533333333336</v>
      </c>
      <c r="AQ41" s="21">
        <f>AQ39/2</f>
        <v>6267.7867500000002</v>
      </c>
    </row>
    <row r="42" spans="1:47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Q42" s="2"/>
    </row>
    <row r="43" spans="1:47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4"/>
      <c r="AL43" s="4"/>
      <c r="AM43" s="4"/>
      <c r="AN43" s="2"/>
      <c r="AO43" s="2"/>
      <c r="AQ43" s="2"/>
    </row>
    <row r="44" spans="1:47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36"/>
      <c r="AK44" s="2"/>
      <c r="AL44" s="2"/>
      <c r="AM44" s="4"/>
      <c r="AN44" s="2"/>
      <c r="AO44" s="2"/>
      <c r="AQ44" s="2"/>
    </row>
    <row r="45" spans="1:47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37"/>
      <c r="AJ45" s="2"/>
      <c r="AK45" s="4"/>
      <c r="AL45" s="2"/>
      <c r="AM45" s="4"/>
      <c r="AN45" s="2"/>
      <c r="AO45" s="2"/>
      <c r="AQ45" s="2"/>
    </row>
    <row r="46" spans="1:47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Q46" s="2"/>
    </row>
    <row r="47" spans="1:47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Q47" s="2"/>
    </row>
    <row r="48" spans="1:47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Q48" s="2"/>
    </row>
    <row r="49" spans="1:43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Q49" s="2"/>
    </row>
    <row r="50" spans="1:43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Q50" s="2"/>
    </row>
    <row r="51" spans="1:43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Q51" s="2"/>
    </row>
    <row r="52" spans="1:43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Q52" s="2"/>
    </row>
    <row r="53" spans="1:43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Q53" s="2"/>
    </row>
    <row r="54" spans="1:43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Q54" s="2"/>
    </row>
    <row r="55" spans="1:43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Q55" s="2"/>
    </row>
    <row r="56" spans="1:43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Q56" s="2"/>
    </row>
    <row r="57" spans="1:43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Q57" s="2"/>
    </row>
    <row r="58" spans="1:43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Q58" s="2"/>
    </row>
    <row r="59" spans="1:43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Q59" s="2"/>
    </row>
    <row r="60" spans="1:43" ht="15.75" customHeight="1" x14ac:dyDescent="0.2">
      <c r="A60" s="2"/>
      <c r="B60" s="2"/>
      <c r="C60" s="2"/>
      <c r="D60" s="2"/>
      <c r="E60" s="3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Q60" s="2"/>
    </row>
    <row r="61" spans="1:43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Q61" s="2"/>
    </row>
    <row r="62" spans="1:43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Q62" s="2"/>
    </row>
    <row r="63" spans="1:43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Q63" s="2"/>
    </row>
    <row r="64" spans="1:43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Q64" s="2"/>
    </row>
    <row r="65" spans="1:43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Q65" s="2"/>
    </row>
    <row r="66" spans="1:43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Q66" s="2"/>
    </row>
    <row r="67" spans="1:43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Q67" s="2"/>
    </row>
    <row r="68" spans="1:43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Q68" s="2"/>
    </row>
    <row r="69" spans="1:43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Q69" s="2"/>
    </row>
    <row r="70" spans="1:43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Q70" s="2"/>
    </row>
    <row r="71" spans="1:43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Q71" s="2"/>
    </row>
    <row r="72" spans="1:43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Q72" s="2"/>
    </row>
    <row r="73" spans="1:43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Q73" s="2"/>
    </row>
    <row r="74" spans="1:43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Q74" s="2"/>
    </row>
    <row r="75" spans="1:43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Q75" s="2"/>
    </row>
    <row r="76" spans="1:43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Q76" s="2"/>
    </row>
    <row r="77" spans="1:43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Q77" s="2"/>
    </row>
    <row r="78" spans="1:43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Q78" s="2"/>
    </row>
    <row r="79" spans="1:43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Q79" s="2"/>
    </row>
    <row r="80" spans="1:43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Q80" s="2"/>
    </row>
    <row r="81" spans="1:43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Q81" s="2"/>
    </row>
    <row r="82" spans="1:43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Q82" s="2"/>
    </row>
    <row r="83" spans="1:43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Q83" s="2"/>
    </row>
    <row r="84" spans="1:43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Q84" s="2"/>
    </row>
    <row r="85" spans="1:43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Q85" s="2"/>
    </row>
    <row r="86" spans="1:43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Q86" s="2"/>
    </row>
    <row r="87" spans="1:43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Q87" s="2"/>
    </row>
    <row r="88" spans="1:43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Q88" s="2"/>
    </row>
    <row r="89" spans="1:43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Q89" s="2"/>
    </row>
    <row r="90" spans="1:43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Q90" s="2"/>
    </row>
    <row r="91" spans="1:43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Q91" s="2"/>
    </row>
    <row r="92" spans="1:43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Q92" s="2"/>
    </row>
    <row r="93" spans="1:43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Q93" s="2"/>
    </row>
    <row r="94" spans="1:43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Q94" s="2"/>
    </row>
    <row r="95" spans="1:43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Q95" s="2"/>
    </row>
    <row r="96" spans="1:43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Q96" s="2"/>
    </row>
    <row r="97" spans="1:43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Q97" s="2"/>
    </row>
    <row r="98" spans="1:43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Q98" s="2"/>
    </row>
    <row r="99" spans="1:43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Q99" s="2"/>
    </row>
    <row r="100" spans="1:43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Q100" s="2"/>
    </row>
    <row r="101" spans="1:43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Q101" s="2"/>
    </row>
    <row r="102" spans="1:43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Q102" s="2"/>
    </row>
    <row r="103" spans="1:43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Q103" s="2"/>
    </row>
    <row r="104" spans="1:43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Q104" s="2"/>
    </row>
    <row r="105" spans="1:43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Q105" s="2"/>
    </row>
    <row r="106" spans="1:43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Q106" s="2"/>
    </row>
    <row r="107" spans="1:43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Q107" s="2"/>
    </row>
    <row r="108" spans="1:43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Q108" s="2"/>
    </row>
    <row r="109" spans="1:43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Q109" s="2"/>
    </row>
    <row r="110" spans="1:43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Q110" s="2"/>
    </row>
    <row r="111" spans="1:43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Q111" s="2"/>
    </row>
    <row r="112" spans="1:43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Q112" s="2"/>
    </row>
    <row r="113" spans="1:43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Q113" s="2"/>
    </row>
    <row r="114" spans="1:43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Q114" s="2"/>
    </row>
    <row r="115" spans="1:43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Q115" s="2"/>
    </row>
    <row r="116" spans="1:43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Q116" s="2"/>
    </row>
    <row r="117" spans="1:43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Q117" s="2"/>
    </row>
    <row r="118" spans="1:43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Q118" s="2"/>
    </row>
    <row r="119" spans="1:43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Q119" s="2"/>
    </row>
    <row r="120" spans="1:43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Q120" s="2"/>
    </row>
    <row r="121" spans="1:43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Q121" s="2"/>
    </row>
    <row r="122" spans="1:43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Q122" s="2"/>
    </row>
    <row r="123" spans="1:43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Q123" s="2"/>
    </row>
    <row r="124" spans="1:43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Q124" s="2"/>
    </row>
    <row r="125" spans="1:43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Q125" s="2"/>
    </row>
    <row r="126" spans="1:43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Q126" s="2"/>
    </row>
    <row r="127" spans="1:43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Q127" s="2"/>
    </row>
    <row r="128" spans="1:43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Q128" s="2"/>
    </row>
    <row r="129" spans="1:43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Q129" s="2"/>
    </row>
    <row r="130" spans="1:43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Q130" s="2"/>
    </row>
    <row r="131" spans="1:43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Q131" s="2"/>
    </row>
    <row r="132" spans="1:43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Q132" s="2"/>
    </row>
    <row r="133" spans="1:43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Q133" s="2"/>
    </row>
    <row r="134" spans="1:43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Q134" s="2"/>
    </row>
    <row r="135" spans="1:43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Q135" s="2"/>
    </row>
    <row r="136" spans="1:43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Q136" s="2"/>
    </row>
    <row r="137" spans="1:43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Q137" s="2"/>
    </row>
    <row r="138" spans="1:43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Q138" s="2"/>
    </row>
    <row r="139" spans="1:43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Q139" s="2"/>
    </row>
    <row r="140" spans="1:43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Q140" s="2"/>
    </row>
    <row r="141" spans="1:43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Q141" s="2"/>
    </row>
    <row r="142" spans="1:43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Q142" s="2"/>
    </row>
    <row r="143" spans="1:43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Q143" s="2"/>
    </row>
    <row r="144" spans="1:43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Q144" s="2"/>
    </row>
    <row r="145" spans="1:43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Q145" s="2"/>
    </row>
    <row r="146" spans="1:43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Q146" s="2"/>
    </row>
    <row r="147" spans="1:43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Q147" s="2"/>
    </row>
    <row r="148" spans="1:43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Q148" s="2"/>
    </row>
    <row r="149" spans="1:43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Q149" s="2"/>
    </row>
    <row r="150" spans="1:43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Q150" s="2"/>
    </row>
    <row r="151" spans="1:43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Q151" s="2"/>
    </row>
    <row r="152" spans="1:43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Q152" s="2"/>
    </row>
    <row r="153" spans="1:43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Q153" s="2"/>
    </row>
    <row r="154" spans="1:43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Q154" s="2"/>
    </row>
    <row r="155" spans="1:43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Q155" s="2"/>
    </row>
    <row r="156" spans="1:43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Q156" s="2"/>
    </row>
    <row r="157" spans="1:43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Q157" s="2"/>
    </row>
    <row r="158" spans="1:43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Q158" s="2"/>
    </row>
    <row r="159" spans="1:43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Q159" s="2"/>
    </row>
    <row r="160" spans="1:43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Q160" s="2"/>
    </row>
    <row r="161" spans="1:43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Q161" s="2"/>
    </row>
    <row r="162" spans="1:43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Q162" s="2"/>
    </row>
    <row r="163" spans="1:43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Q163" s="2"/>
    </row>
    <row r="164" spans="1:43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Q164" s="2"/>
    </row>
    <row r="165" spans="1:43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Q165" s="2"/>
    </row>
    <row r="166" spans="1:43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Q166" s="2"/>
    </row>
    <row r="167" spans="1:43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Q167" s="2"/>
    </row>
    <row r="168" spans="1:43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Q168" s="2"/>
    </row>
    <row r="169" spans="1:43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Q169" s="2"/>
    </row>
    <row r="170" spans="1:43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Q170" s="2"/>
    </row>
    <row r="171" spans="1:43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Q171" s="2"/>
    </row>
    <row r="172" spans="1:43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Q172" s="2"/>
    </row>
    <row r="173" spans="1:43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Q173" s="2"/>
    </row>
    <row r="174" spans="1:43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Q174" s="2"/>
    </row>
    <row r="175" spans="1:43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Q175" s="2"/>
    </row>
    <row r="176" spans="1:43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Q176" s="2"/>
    </row>
    <row r="177" spans="1:43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Q177" s="2"/>
    </row>
    <row r="178" spans="1:43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Q178" s="2"/>
    </row>
    <row r="179" spans="1:43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Q179" s="2"/>
    </row>
    <row r="180" spans="1:43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Q180" s="2"/>
    </row>
    <row r="181" spans="1:43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Q181" s="2"/>
    </row>
    <row r="182" spans="1:43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Q182" s="2"/>
    </row>
    <row r="183" spans="1:43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Q183" s="2"/>
    </row>
    <row r="184" spans="1:43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Q184" s="2"/>
    </row>
    <row r="185" spans="1:43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Q185" s="2"/>
    </row>
    <row r="186" spans="1:43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Q186" s="2"/>
    </row>
    <row r="187" spans="1:43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Q187" s="2"/>
    </row>
    <row r="188" spans="1:43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Q188" s="2"/>
    </row>
    <row r="189" spans="1:43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Q189" s="2"/>
    </row>
    <row r="190" spans="1:43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Q190" s="2"/>
    </row>
    <row r="191" spans="1:43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Q191" s="2"/>
    </row>
    <row r="192" spans="1:43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Q192" s="2"/>
    </row>
    <row r="193" spans="1:43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Q193" s="2"/>
    </row>
    <row r="194" spans="1:43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Q194" s="2"/>
    </row>
    <row r="195" spans="1:43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Q195" s="2"/>
    </row>
    <row r="196" spans="1:43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Q196" s="2"/>
    </row>
    <row r="197" spans="1:43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Q197" s="2"/>
    </row>
    <row r="198" spans="1:43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Q198" s="2"/>
    </row>
    <row r="199" spans="1:43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Q199" s="2"/>
    </row>
    <row r="200" spans="1:43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Q200" s="2"/>
    </row>
    <row r="201" spans="1:43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Q201" s="2"/>
    </row>
    <row r="202" spans="1:43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Q202" s="2"/>
    </row>
    <row r="203" spans="1:43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Q203" s="2"/>
    </row>
    <row r="204" spans="1:43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Q204" s="2"/>
    </row>
    <row r="205" spans="1:43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Q205" s="2"/>
    </row>
    <row r="206" spans="1:43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Q206" s="2"/>
    </row>
    <row r="207" spans="1:43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Q207" s="2"/>
    </row>
    <row r="208" spans="1:43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Q208" s="2"/>
    </row>
    <row r="209" spans="1:43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Q209" s="2"/>
    </row>
    <row r="210" spans="1:43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Q210" s="2"/>
    </row>
    <row r="211" spans="1:43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Q211" s="2"/>
    </row>
    <row r="212" spans="1:43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Q212" s="2"/>
    </row>
    <row r="213" spans="1:43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Q213" s="2"/>
    </row>
    <row r="214" spans="1:43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Q214" s="2"/>
    </row>
    <row r="215" spans="1:43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Q215" s="2"/>
    </row>
    <row r="216" spans="1:43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Q216" s="2"/>
    </row>
    <row r="217" spans="1:43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Q217" s="2"/>
    </row>
    <row r="218" spans="1:43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Q218" s="2"/>
    </row>
    <row r="219" spans="1:43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Q219" s="2"/>
    </row>
    <row r="220" spans="1:43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Q220" s="2"/>
    </row>
    <row r="221" spans="1:43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Q221" s="2"/>
    </row>
    <row r="222" spans="1:43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Q222" s="2"/>
    </row>
    <row r="223" spans="1:43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Q223" s="2"/>
    </row>
    <row r="224" spans="1:43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Q224" s="2"/>
    </row>
    <row r="225" spans="1:43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Q225" s="2"/>
    </row>
    <row r="226" spans="1:43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Q226" s="2"/>
    </row>
    <row r="227" spans="1:43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Q227" s="2"/>
    </row>
    <row r="228" spans="1:43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Q228" s="2"/>
    </row>
    <row r="229" spans="1:43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Q229" s="2"/>
    </row>
    <row r="230" spans="1:43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Q230" s="2"/>
    </row>
    <row r="231" spans="1:43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Q231" s="2"/>
    </row>
    <row r="232" spans="1:43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Q232" s="2"/>
    </row>
    <row r="233" spans="1:43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Q233" s="2"/>
    </row>
    <row r="234" spans="1:43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Q234" s="2"/>
    </row>
    <row r="235" spans="1:43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Q235" s="2"/>
    </row>
    <row r="236" spans="1:43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Q236" s="2"/>
    </row>
    <row r="237" spans="1:43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Q237" s="2"/>
    </row>
    <row r="238" spans="1:43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Q238" s="2"/>
    </row>
    <row r="239" spans="1:43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Q239" s="2"/>
    </row>
    <row r="240" spans="1:43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Q240" s="2"/>
    </row>
    <row r="241" spans="1:43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Q241" s="2"/>
    </row>
    <row r="242" spans="1:43" ht="15.75" customHeight="1" x14ac:dyDescent="0.2"/>
    <row r="243" spans="1:43" ht="15.75" customHeight="1" x14ac:dyDescent="0.2"/>
    <row r="244" spans="1:43" ht="15.75" customHeight="1" x14ac:dyDescent="0.2"/>
    <row r="245" spans="1:43" ht="15.75" customHeight="1" x14ac:dyDescent="0.2"/>
    <row r="246" spans="1:43" ht="15.75" customHeight="1" x14ac:dyDescent="0.2"/>
    <row r="247" spans="1:43" ht="15.75" customHeight="1" x14ac:dyDescent="0.2"/>
    <row r="248" spans="1:43" ht="15.75" customHeight="1" x14ac:dyDescent="0.2"/>
    <row r="249" spans="1:43" ht="15.75" customHeight="1" x14ac:dyDescent="0.2"/>
    <row r="250" spans="1:43" ht="15.75" customHeight="1" x14ac:dyDescent="0.2"/>
    <row r="251" spans="1:43" ht="15.75" customHeight="1" x14ac:dyDescent="0.2"/>
    <row r="252" spans="1:43" ht="15.75" customHeight="1" x14ac:dyDescent="0.2"/>
    <row r="253" spans="1:43" ht="15.75" customHeight="1" x14ac:dyDescent="0.2"/>
    <row r="254" spans="1:43" ht="15.75" customHeight="1" x14ac:dyDescent="0.2"/>
    <row r="255" spans="1:43" ht="15.75" customHeight="1" x14ac:dyDescent="0.2"/>
    <row r="256" spans="1:43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paperSize="9" orientation="portrait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baseColWidth="10" defaultColWidth="14.5" defaultRowHeight="15" customHeight="1" x14ac:dyDescent="0.2"/>
  <cols>
    <col min="1" max="1" width="26.6640625" customWidth="1"/>
    <col min="2" max="2" width="13.33203125" customWidth="1"/>
    <col min="3" max="3" width="16.33203125" customWidth="1"/>
    <col min="4" max="6" width="10.5" customWidth="1"/>
    <col min="7" max="7" width="12.1640625" customWidth="1"/>
    <col min="8" max="26" width="8.6640625" customWidth="1"/>
  </cols>
  <sheetData>
    <row r="1" spans="1:7" ht="24" x14ac:dyDescent="0.3">
      <c r="A1" s="1" t="s">
        <v>83</v>
      </c>
    </row>
    <row r="3" spans="1:7" x14ac:dyDescent="0.2">
      <c r="F3" s="12" t="s">
        <v>84</v>
      </c>
      <c r="G3" s="26">
        <f>50000-B4-B5-B8</f>
        <v>4566.2999999999993</v>
      </c>
    </row>
    <row r="4" spans="1:7" x14ac:dyDescent="0.2">
      <c r="A4" s="12" t="s">
        <v>85</v>
      </c>
      <c r="B4" s="26">
        <f>7875+15500+7875</f>
        <v>31250</v>
      </c>
    </row>
    <row r="5" spans="1:7" x14ac:dyDescent="0.2">
      <c r="A5" s="12" t="s">
        <v>86</v>
      </c>
      <c r="B5" s="26">
        <v>6883.7</v>
      </c>
    </row>
    <row r="6" spans="1:7" x14ac:dyDescent="0.2">
      <c r="A6" s="12" t="s">
        <v>87</v>
      </c>
      <c r="B6" s="26">
        <f>966.71+171.9-2.54</f>
        <v>1136.0700000000002</v>
      </c>
      <c r="C6" s="12" t="s">
        <v>88</v>
      </c>
      <c r="D6" s="26"/>
      <c r="E6" s="26"/>
      <c r="F6" s="26"/>
    </row>
    <row r="7" spans="1:7" x14ac:dyDescent="0.2">
      <c r="A7" s="12" t="s">
        <v>89</v>
      </c>
      <c r="B7" s="26">
        <v>629.9</v>
      </c>
      <c r="C7" s="12" t="s">
        <v>88</v>
      </c>
      <c r="D7" s="26"/>
    </row>
    <row r="8" spans="1:7" x14ac:dyDescent="0.2">
      <c r="A8" s="12" t="s">
        <v>90</v>
      </c>
      <c r="B8" s="26">
        <f>3900+2000+1400</f>
        <v>7300</v>
      </c>
    </row>
    <row r="9" spans="1:7" x14ac:dyDescent="0.2">
      <c r="A9" s="12" t="s">
        <v>91</v>
      </c>
      <c r="B9" s="26">
        <f>54+55+66.3+157.3+35+43+37+104+32</f>
        <v>583.6</v>
      </c>
    </row>
    <row r="10" spans="1:7" x14ac:dyDescent="0.2">
      <c r="C10" s="38" t="s">
        <v>92</v>
      </c>
      <c r="D10" s="38"/>
      <c r="E10" s="38"/>
      <c r="F10" s="38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2025</vt:lpstr>
      <vt:lpstr>Comparativo</vt:lpstr>
      <vt:lpstr>Cartão de Crédito</vt:lpstr>
      <vt:lpstr>Histórico contas</vt:lpstr>
      <vt:lpstr>Gastos Obra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Rios</dc:creator>
  <cp:lastModifiedBy>Bruno Cardozo de Holanda</cp:lastModifiedBy>
  <dcterms:created xsi:type="dcterms:W3CDTF">2022-02-01T23:32:23Z</dcterms:created>
  <dcterms:modified xsi:type="dcterms:W3CDTF">2026-01-14T18:56:16Z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c77bae-9cad-4b1a-aac3-2a4ad557d70b_Enabled">
    <vt:lpwstr>true</vt:lpwstr>
  </property>
  <property fmtid="{D5CDD505-2E9C-101B-9397-08002B2CF9AE}" pid="3" name="MSIP_Label_a7c77bae-9cad-4b1a-aac3-2a4ad557d70b_SetDate">
    <vt:lpwstr>2025-06-04T01:05:08Z</vt:lpwstr>
  </property>
  <property fmtid="{D5CDD505-2E9C-101B-9397-08002B2CF9AE}" pid="4" name="MSIP_Label_a7c77bae-9cad-4b1a-aac3-2a4ad557d70b_Method">
    <vt:lpwstr>Privileged</vt:lpwstr>
  </property>
  <property fmtid="{D5CDD505-2E9C-101B-9397-08002B2CF9AE}" pid="5" name="MSIP_Label_a7c77bae-9cad-4b1a-aac3-2a4ad557d70b_Name">
    <vt:lpwstr>General</vt:lpwstr>
  </property>
  <property fmtid="{D5CDD505-2E9C-101B-9397-08002B2CF9AE}" pid="6" name="MSIP_Label_a7c77bae-9cad-4b1a-aac3-2a4ad557d70b_SiteId">
    <vt:lpwstr>88ed286b-88d8-4faf-918f-883d693321ae</vt:lpwstr>
  </property>
  <property fmtid="{D5CDD505-2E9C-101B-9397-08002B2CF9AE}" pid="7" name="MSIP_Label_a7c77bae-9cad-4b1a-aac3-2a4ad557d70b_ActionId">
    <vt:lpwstr>1ed73d55-ab08-46b9-963e-5d6831c8ce43</vt:lpwstr>
  </property>
  <property fmtid="{D5CDD505-2E9C-101B-9397-08002B2CF9AE}" pid="8" name="MSIP_Label_a7c77bae-9cad-4b1a-aac3-2a4ad557d70b_ContentBits">
    <vt:lpwstr>0</vt:lpwstr>
  </property>
</Properties>
</file>